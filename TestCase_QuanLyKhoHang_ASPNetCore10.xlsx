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820" windowHeight="9684" tabRatio="500"/>
  </bookViews>
  <sheets>
    <sheet name="Testcase" sheetId="1" r:id="rId1"/>
    <sheet name="Tổng hợp" sheetId="2" r:id="rId2"/>
    <sheet name="Quy ước &amp; Dữ liệu test" sheetId="3" r:id="rId3"/>
  </sheets>
  <definedNames>
    <definedName name="_xlnm._FilterDatabase" localSheetId="0" hidden="1">Testcase!$A$1:$P$205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<sst xmlns="http://schemas.openxmlformats.org/spreadsheetml/2006/main" count="2527" uniqueCount="1076">
  <si>
    <t>ID</t>
  </si>
  <si>
    <t>Module</t>
  </si>
  <si>
    <t>Chức năng</t>
  </si>
  <si>
    <t>Loại test</t>
  </si>
  <si>
    <t>Tiêu đề / Mô tả</t>
  </si>
  <si>
    <t>Điều kiện tiên quyết</t>
  </si>
  <si>
    <t>Các bước thực hiện</t>
  </si>
  <si>
    <t>Dữ liệu test</t>
  </si>
  <si>
    <t>Kết quả mong đợi</t>
  </si>
  <si>
    <t>Ưu tiên</t>
  </si>
  <si>
    <t>Tự động hóa</t>
  </si>
  <si>
    <t>Kết quả thực tế</t>
  </si>
  <si>
    <t>Trạng thái</t>
  </si>
  <si>
    <t>Người test</t>
  </si>
  <si>
    <t>Ngày test</t>
  </si>
  <si>
    <t>Ghi chú</t>
  </si>
  <si>
    <t>TC_M1_001</t>
  </si>
  <si>
    <t>M1 - Tài khoản &amp; Phân quyền</t>
  </si>
  <si>
    <t>Đăng nhập</t>
  </si>
  <si>
    <t>Positive</t>
  </si>
  <si>
    <t>Đăng nhập Admin đúng thông tin</t>
  </si>
  <si>
    <t>Tài khoản admin đang hoạt động</t>
  </si>
  <si>
    <t>1. Mở /TaiKhoan/Login
2. Nhập tên đăng nhập, mật khẩu
3. Nhấn Đăng nhập</t>
  </si>
  <si>
    <t>admin / Admin@123</t>
  </si>
  <si>
    <t>Chuyển hướng về trang chủ/Dashboard; Session lưu MaTaiKhoan, HoTen, VaiTro=Admin; menu hiển thị đủ chức năng quản trị</t>
  </si>
  <si>
    <t>Cao</t>
  </si>
  <si>
    <t>Integration (WAF)</t>
  </si>
  <si>
    <t>Chưa test</t>
  </si>
  <si>
    <t>TC_M1_002</t>
  </si>
  <si>
    <t>Đăng nhập Nhân viên kho đúng thông tin</t>
  </si>
  <si>
    <t>Tài khoản nvkho đang hoạt động</t>
  </si>
  <si>
    <t>1. Mở trang đăng nhập
2. Nhập thông tin hợp lệ
3. Nhấn Đăng nhập</t>
  </si>
  <si>
    <t>nvkho / Kho@123</t>
  </si>
  <si>
    <t>Đăng nhập thành công; Session có VaiTro=Nhân viên kho; chỉ thấy chức năng theo quyền</t>
  </si>
  <si>
    <t>TC_M1_003</t>
  </si>
  <si>
    <t>Negative</t>
  </si>
  <si>
    <t>Sai mật khẩu</t>
  </si>
  <si>
    <t>Tài khoản admin tồn tại</t>
  </si>
  <si>
    <t>1. Nhập đúng tên đăng nhập, sai mật khẩu
2. Nhấn Đăng nhập</t>
  </si>
  <si>
    <t>admin / Sai@123</t>
  </si>
  <si>
    <t>Ở lại trang đăng nhập; hiển thị thông báo sai thông tin; Session không được tạo</t>
  </si>
  <si>
    <t>Trung bình</t>
  </si>
  <si>
    <t>TC_M1_004</t>
  </si>
  <si>
    <t>Tên đăng nhập không tồn tại</t>
  </si>
  <si>
    <t>Không có tài khoản 'khongco'</t>
  </si>
  <si>
    <t>1. Nhập tên đăng nhập không tồn tại
2. Nhấn Đăng nhập</t>
  </si>
  <si>
    <t>khongco / Abc@123</t>
  </si>
  <si>
    <t>Thông báo sai thông tin đăng nhập (không tiết lộ tài khoản có tồn tại hay không); không tạo Session</t>
  </si>
  <si>
    <t>TC_M1_005</t>
  </si>
  <si>
    <t>Để trống tên đăng nhập</t>
  </si>
  <si>
    <t>Ở trang đăng nhập</t>
  </si>
  <si>
    <t>1. Bỏ trống tên đăng nhập
2. Nhập mật khẩu
3. Nhấn Đăng nhập</t>
  </si>
  <si>
    <t>'' / Admin@123</t>
  </si>
  <si>
    <t>Validation message 'bắt buộc nhập tên đăng nhập'; không đăng nhập</t>
  </si>
  <si>
    <t>TC_M1_006</t>
  </si>
  <si>
    <t>Để trống mật khẩu</t>
  </si>
  <si>
    <t>1. Nhập tên đăng nhập
2. Bỏ trống mật khẩu
3. Nhấn Đăng nhập</t>
  </si>
  <si>
    <t>admin / ''</t>
  </si>
  <si>
    <t>Validation message 'bắt buộc nhập mật khẩu'; không đăng nhập</t>
  </si>
  <si>
    <t>TC_M1_007</t>
  </si>
  <si>
    <t>Tài khoản bị khóa không được đăng nhập</t>
  </si>
  <si>
    <t>Tài khoản 'khoa' có TrangThai = Khóa</t>
  </si>
  <si>
    <t>1. Nhập đúng thông tin tài khoản bị khóa
2. Nhấn Đăng nhập</t>
  </si>
  <si>
    <t>khoa / Khoa@123</t>
  </si>
  <si>
    <t>Từ chối đăng nhập, thông báo tài khoản bị khóa; không tạo Session</t>
  </si>
  <si>
    <t>TC_M1_008</t>
  </si>
  <si>
    <t>Bảo mật</t>
  </si>
  <si>
    <t>SQL Injection ở tên đăng nhập</t>
  </si>
  <si>
    <t>1. Nhập chuỗi injection vào tên đăng nhập
2. Nhấn Đăng nhập</t>
  </si>
  <si>
    <t>' OR 1=1 -- / bất kỳ</t>
  </si>
  <si>
    <t>Không đăng nhập được; không lỗi 500 (EF Core dùng tham số hóa)</t>
  </si>
  <si>
    <t>TC_M1_009</t>
  </si>
  <si>
    <t>Boundary</t>
  </si>
  <si>
    <t>Tên đăng nhập có khoảng trắng đầu/cuối</t>
  </si>
  <si>
    <t>1. Nhập ' admin ' (có khoảng trắng)
2. Nhập đúng mật khẩu
3. Nhấn Đăng nhập</t>
  </si>
  <si>
    <t>' admin ' / Admin@123</t>
  </si>
  <si>
    <t>Hành vi nhất quán theo thiết kế (Trim rồi đăng nhập được, hoặc báo sai) – không lỗi hệ thống</t>
  </si>
  <si>
    <t>TC_M1_010</t>
  </si>
  <si>
    <t>Đăng xuất</t>
  </si>
  <si>
    <t>Đăng xuất xóa Session</t>
  </si>
  <si>
    <t>Đã đăng nhập</t>
  </si>
  <si>
    <t>1. Nhấn Đăng xuất
2. Quan sát chuyển hướng</t>
  </si>
  <si>
    <t>—</t>
  </si>
  <si>
    <t>Chuyển về trang đăng nhập; Session bị xóa (không còn MaTaiKhoan/HoTen/VaiTro)</t>
  </si>
  <si>
    <t>TC_M1_011</t>
  </si>
  <si>
    <t>Truy cập trang quản trị sau khi đăng xuất</t>
  </si>
  <si>
    <t>Vừa đăng xuất</t>
  </si>
  <si>
    <t>1. Nhấn nút Back của trình duyệt hoặc mở lại /HangHoa</t>
  </si>
  <si>
    <t>Bị chuyển về trang đăng nhập, không xem được dữ liệu</t>
  </si>
  <si>
    <t>TC_M1_012</t>
  </si>
  <si>
    <t>Chưa đăng nhập truy cập trang yêu cầu đăng nhập</t>
  </si>
  <si>
    <t>Chưa đăng nhập</t>
  </si>
  <si>
    <t>1. Mở trực tiếp /PhieuNhap, /Kho, /TonKho</t>
  </si>
  <si>
    <t>Chuyển hướng về /TaiKhoan/Login (kèm returnUrl nếu có)</t>
  </si>
  <si>
    <t>TC_M1_013</t>
  </si>
  <si>
    <t>Session hết hạn</t>
  </si>
  <si>
    <t>Đã đăng nhập; Session timeout ngắn (test)</t>
  </si>
  <si>
    <t>1. Đợi quá thời gian Session
2. Thao tác trang bất kỳ</t>
  </si>
  <si>
    <t>Yêu cầu đăng nhập lại; không lỗi NullReference</t>
  </si>
  <si>
    <t>TC_M1_014</t>
  </si>
  <si>
    <t>Quản lý tài khoản</t>
  </si>
  <si>
    <t>Tạo tài khoản hợp lệ</t>
  </si>
  <si>
    <t>Đăng nhập Admin</t>
  </si>
  <si>
    <t>1. Mở /TaiKhoan/Create
2. Nhập đủ thông tin
3. Lưu</t>
  </si>
  <si>
    <t>TenDangNhap=nv02, MatKhau=Kho@123, HoTen=Lê Văn B, Email=b@mail.com, VaiTro=Nhân viên kho</t>
  </si>
  <si>
    <t>Tạo thành công, hiển thị trong danh sách</t>
  </si>
  <si>
    <t>TC_M1_015</t>
  </si>
  <si>
    <t>Tên đăng nhập trùng</t>
  </si>
  <si>
    <t>1. Tạo tài khoản với tên đăng nhập đã có
2. Lưu</t>
  </si>
  <si>
    <t>TenDangNhap=admin</t>
  </si>
  <si>
    <t>Báo lỗi tên đăng nhập đã tồn tại; không tạo bản ghi</t>
  </si>
  <si>
    <t>TC_M1_016</t>
  </si>
  <si>
    <t>Tên đăng nhập để trống</t>
  </si>
  <si>
    <t>1. Bỏ trống tên đăng nhập
2. Lưu</t>
  </si>
  <si>
    <t>TenDangNhap=''</t>
  </si>
  <si>
    <t>Validation 'Tên đăng nhập là bắt buộc'</t>
  </si>
  <si>
    <t>TC_M1_017</t>
  </si>
  <si>
    <t>Mật khẩu để trống</t>
  </si>
  <si>
    <t>1. Bỏ trống mật khẩu
2. Lưu</t>
  </si>
  <si>
    <t>MatKhau=''</t>
  </si>
  <si>
    <t>Validation 'Mật khẩu là bắt buộc'</t>
  </si>
  <si>
    <t>TC_M1_018</t>
  </si>
  <si>
    <t>Email sai định dạng</t>
  </si>
  <si>
    <t>1. Nhập email không hợp lệ
2. Lưu</t>
  </si>
  <si>
    <t>Email=abc@</t>
  </si>
  <si>
    <t>Validation 'Email không đúng định dạng'</t>
  </si>
  <si>
    <t>TC_M1_019</t>
  </si>
  <si>
    <t>Khóa tài khoản làm người dùng không đăng nhập lại được</t>
  </si>
  <si>
    <t>1. Admin đổi TrangThai của nv02 sang Khóa
2. Đăng nhập bằng nv02</t>
  </si>
  <si>
    <t>nv02</t>
  </si>
  <si>
    <t>Đăng nhập bị từ chối với thông báo tài khoản bị khóa</t>
  </si>
  <si>
    <t>TC_M1_020</t>
  </si>
  <si>
    <t>Phân quyền</t>
  </si>
  <si>
    <t>Nhân viên kho truy cập trang quản lý tài khoản</t>
  </si>
  <si>
    <t>Đăng nhập Nhân viên kho (nvkho)</t>
  </si>
  <si>
    <t>1. Mở trực tiếp /TaiKhoan</t>
  </si>
  <si>
    <t>Bị từ chối (403/AccessDenied/redirect) – kiểm tra tại Controller</t>
  </si>
  <si>
    <t>TC_M1_021</t>
  </si>
  <si>
    <t>Nhân viên kho POST tạo kho trực tiếp</t>
  </si>
  <si>
    <t>1. Gửi POST /Kho/Create với dữ liệu hợp lệ (không qua giao diện)</t>
  </si>
  <si>
    <t>TenKho=Kho Test</t>
  </si>
  <si>
    <t>Bị từ chối tại Controller; không có bản ghi mới (không chỉ ẩn nút trên View)</t>
  </si>
  <si>
    <t>TC_M1_022</t>
  </si>
  <si>
    <t>Nhân viên kho POST tạo hàng hóa trực tiếp</t>
  </si>
  <si>
    <t>1. Gửi POST /HangHoa/Create hợp lệ</t>
  </si>
  <si>
    <t>TenHang=Hàng Test</t>
  </si>
  <si>
    <t>Bị từ chối; không tạo hàng hóa</t>
  </si>
  <si>
    <t>TC_M1_023</t>
  </si>
  <si>
    <t>Admin truy cập đầy đủ chức năng quản trị</t>
  </si>
  <si>
    <t>1. Lần lượt mở Tài khoản, Danh mục, Kho, Hàng hóa, Thống kê</t>
  </si>
  <si>
    <t>Tất cả trang hiển thị bình thường (HTTP 200)</t>
  </si>
  <si>
    <t>TC_M1_024</t>
  </si>
  <si>
    <t>Chưa đăng nhập POST tạo phiếu nhập</t>
  </si>
  <si>
    <t>1. Gửi POST /PhieuNhap/Create</t>
  </si>
  <si>
    <t>Chuyển về trang đăng nhập; không tạo phiếu</t>
  </si>
  <si>
    <t>TC_M1_025</t>
  </si>
  <si>
    <t>Nhân viên kho truy cập trang Thống kê/Dashboard quản trị</t>
  </si>
  <si>
    <t>1. Mở /ThongKe</t>
  </si>
  <si>
    <t>Bị từ chối nếu thống kê chỉ dành cho Admin (theo đề bài mục 5.3)</t>
  </si>
  <si>
    <t>TC_M1_026</t>
  </si>
  <si>
    <t>Menu hiển thị theo vai trò</t>
  </si>
  <si>
    <t>Đăng nhập lần lượt Admin và nvkho</t>
  </si>
  <si>
    <t>1. So sánh menu hai vai trò</t>
  </si>
  <si>
    <t>Admin thấy đủ menu; nvkho chỉ thấy phần được phép</t>
  </si>
  <si>
    <t>Thấp</t>
  </si>
  <si>
    <t>Thủ công</t>
  </si>
  <si>
    <t>TC_M1_027</t>
  </si>
  <si>
    <t>Loại hàng</t>
  </si>
  <si>
    <t>Thêm loại hàng hợp lệ</t>
  </si>
  <si>
    <t>1. Mở /LoaiHang/Create
2. Nhập tên, mô tả
3. Lưu</t>
  </si>
  <si>
    <t>TenLoaiHang=Điện tử</t>
  </si>
  <si>
    <t>Tạo thành công, xuất hiện trong danh sách</t>
  </si>
  <si>
    <t>TC_M1_028</t>
  </si>
  <si>
    <t>Tên loại hàng để trống</t>
  </si>
  <si>
    <t>1. Bỏ trống tên
2. Lưu</t>
  </si>
  <si>
    <t>TenLoaiHang=''</t>
  </si>
  <si>
    <t>Validation 'Tên loại hàng là bắt buộc'</t>
  </si>
  <si>
    <t>TC_M1_029</t>
  </si>
  <si>
    <t>Tên loại hàng trùng</t>
  </si>
  <si>
    <t>1. Tạo loại hàng đã có tên
2. Lưu</t>
  </si>
  <si>
    <t>Báo lỗi trùng tên; không tạo mới</t>
  </si>
  <si>
    <t>TC_M1_030</t>
  </si>
  <si>
    <t>Sửa loại hàng</t>
  </si>
  <si>
    <t>1. Mở Edit loại hàng
2. Đổi mô tả
3. Lưu</t>
  </si>
  <si>
    <t>MoTa=Thiết bị điện tử</t>
  </si>
  <si>
    <t>Cập nhật thành công</t>
  </si>
  <si>
    <t>TC_M1_031</t>
  </si>
  <si>
    <t>Nghiệp vụ</t>
  </si>
  <si>
    <t>Loại hàng ngừng hoạt động không hiện khi tạo hàng hóa mới</t>
  </si>
  <si>
    <t>1. Đặt LH3 TrangThai=Ngừng
2. Mở form tạo hàng hóa</t>
  </si>
  <si>
    <t>LH3</t>
  </si>
  <si>
    <t>Dropdown loại hàng không chứa LH3</t>
  </si>
  <si>
    <t>TC_M1_032</t>
  </si>
  <si>
    <t>POST tạo hàng hóa với loại hàng ngừng hoạt động</t>
  </si>
  <si>
    <t>1. Gửi POST /HangHoa/Create với MaLoaiHang=LH3</t>
  </si>
  <si>
    <t>MaLoaiHang=LH3</t>
  </si>
  <si>
    <t>Bị từ chối (kiểm tra phía server, không chỉ JavaScript)</t>
  </si>
  <si>
    <t>TC_M1_033</t>
  </si>
  <si>
    <t>Không xóa loại hàng đang có hàng hóa</t>
  </si>
  <si>
    <t>1. Xóa loại hàng đã có hàng hóa</t>
  </si>
  <si>
    <t>LH1</t>
  </si>
  <si>
    <t>Không xóa vật lý; thông báo hoặc chuyển sang Ngừng hoạt động</t>
  </si>
  <si>
    <t>TC_M1_034</t>
  </si>
  <si>
    <t>Đơn vị tính</t>
  </si>
  <si>
    <t>Thêm đơn vị tính hợp lệ</t>
  </si>
  <si>
    <t>1. Mở /DonViTinh/Create
2. Nhập tên
3. Lưu</t>
  </si>
  <si>
    <t>TenDonViTinh=Hộp</t>
  </si>
  <si>
    <t>Tạo thành công</t>
  </si>
  <si>
    <t>TC_M1_035</t>
  </si>
  <si>
    <t>Tên đơn vị tính để trống</t>
  </si>
  <si>
    <t>TenDonViTinh=''</t>
  </si>
  <si>
    <t>Validation 'Tên đơn vị tính là bắt buộc'</t>
  </si>
  <si>
    <t>TC_M1_036</t>
  </si>
  <si>
    <t>Tên đơn vị tính trùng</t>
  </si>
  <si>
    <t>1. Tạo đơn vị tính trùng tên
2. Lưu</t>
  </si>
  <si>
    <t>Báo lỗi trùng tên</t>
  </si>
  <si>
    <t>TC_M1_037</t>
  </si>
  <si>
    <t>Sửa đơn vị tính</t>
  </si>
  <si>
    <t>1. Sửa mô tả
2. Lưu</t>
  </si>
  <si>
    <t>MoTa=Hộp 10 cái</t>
  </si>
  <si>
    <t>TC_M1_038</t>
  </si>
  <si>
    <t>Không xóa đơn vị tính đang được hàng hóa sử dụng</t>
  </si>
  <si>
    <t>1. Xóa đơn vị tính đã gán cho hàng hóa</t>
  </si>
  <si>
    <t>Hộp</t>
  </si>
  <si>
    <t>Không xóa vật lý; có thông báo</t>
  </si>
  <si>
    <t>TC_M2_001</t>
  </si>
  <si>
    <t>M2 - Kho &amp; Hàng hóa</t>
  </si>
  <si>
    <t>Quản lý kho</t>
  </si>
  <si>
    <t>Thêm kho hợp lệ</t>
  </si>
  <si>
    <t>1. Mở /Kho/Create
2. Nhập tên, địa điểm
3. Lưu</t>
  </si>
  <si>
    <t>TenKho=Kho Hà Nội, DiaDiem=Hà Nội</t>
  </si>
  <si>
    <t>Tạo thành công, trạng thái mặc định Hoạt động</t>
  </si>
  <si>
    <t>TC_M2_002</t>
  </si>
  <si>
    <t>Tên kho để trống</t>
  </si>
  <si>
    <t>1. Bỏ trống tên kho
2. Lưu</t>
  </si>
  <si>
    <t>TenKho=''</t>
  </si>
  <si>
    <t>Validation 'Tên kho là bắt buộc'</t>
  </si>
  <si>
    <t>TC_M2_003</t>
  </si>
  <si>
    <t>Tên kho vượt độ dài tối đa</t>
  </si>
  <si>
    <t>1. Nhập tên kho dài hơn StringLength
2. Lưu</t>
  </si>
  <si>
    <t>TenKho = chuỗi 201 ký tự (nếu max=200)</t>
  </si>
  <si>
    <t>Validation báo vượt độ dài; không lỗi 500</t>
  </si>
  <si>
    <t>TC_M2_004</t>
  </si>
  <si>
    <t>Sửa thông tin kho</t>
  </si>
  <si>
    <t>1. Mở Edit kho
2. Đổi địa điểm
3. Lưu</t>
  </si>
  <si>
    <t>DiaDiem=Hà Đông</t>
  </si>
  <si>
    <t>TC_M2_005</t>
  </si>
  <si>
    <t>Xem chi tiết kho</t>
  </si>
  <si>
    <t>1. Mở Details của kho</t>
  </si>
  <si>
    <t>K1</t>
  </si>
  <si>
    <t>Hiển thị đủ tên, địa điểm, mô tả, trạng thái</t>
  </si>
  <si>
    <t>TC_M2_006</t>
  </si>
  <si>
    <t>Kho ngừng hoạt động không xuất hiện khi lập phiếu nhập/xuất mới</t>
  </si>
  <si>
    <t>1. Đặt K3 Ngừng hoạt động
2. Mở form lập phiếu nhập và phiếu xuất</t>
  </si>
  <si>
    <t>K3</t>
  </si>
  <si>
    <t>Dropdown kho không có K3</t>
  </si>
  <si>
    <t>TC_M2_007</t>
  </si>
  <si>
    <t>POST lập phiếu nhập với kho ngừng hoạt động</t>
  </si>
  <si>
    <t>1. Gửi POST /PhieuNhap/Create với MaKho=K3</t>
  </si>
  <si>
    <t>MaKho=K3</t>
  </si>
  <si>
    <t>Bị từ chối; không tạo phiếu</t>
  </si>
  <si>
    <t>TC_M2_008</t>
  </si>
  <si>
    <t>Không xóa vật lý kho đã phát sinh nhập/xuất</t>
  </si>
  <si>
    <t>1. Xóa kho đã có phiếu</t>
  </si>
  <si>
    <t>Không xóa; giữ nguyên lịch sử (chuyển Ngừng hoạt động)</t>
  </si>
  <si>
    <t>TC_M2_009</t>
  </si>
  <si>
    <t>Hàng hóa - CRUD</t>
  </si>
  <si>
    <t>Thêm hàng hóa hợp lệ</t>
  </si>
  <si>
    <t>1. Mở /HangHoa/Create
2. Nhập đủ thông tin, chọn loại hàng/đơn vị tính
3. Lưu</t>
  </si>
  <si>
    <t>TenHang=Chuột không dây, GiaNhapThamKhao=150000, MucTonToiThieu=10</t>
  </si>
  <si>
    <t>Tạo thành công; tồn ban đầu = 0</t>
  </si>
  <si>
    <t>TC_M2_010</t>
  </si>
  <si>
    <t>Tên hàng để trống</t>
  </si>
  <si>
    <t>1. Bỏ trống tên hàng
2. Lưu</t>
  </si>
  <si>
    <t>TenHang=''</t>
  </si>
  <si>
    <t>Validation 'Tên hàng là bắt buộc'</t>
  </si>
  <si>
    <t>TC_M2_011</t>
  </si>
  <si>
    <t>Giá nhập tham khảo âm</t>
  </si>
  <si>
    <t>1. Nhập giá âm
2. Lưu</t>
  </si>
  <si>
    <t>GiaNhapThamKhao=-1</t>
  </si>
  <si>
    <t>Validation 'Giá phải &gt;= 0'</t>
  </si>
  <si>
    <t>TC_M2_012</t>
  </si>
  <si>
    <t>Giá nhập tham khảo bằng 0</t>
  </si>
  <si>
    <t>1. Nhập giá = 0
2. Lưu</t>
  </si>
  <si>
    <t>GiaNhapThamKhao=0</t>
  </si>
  <si>
    <t>Lưu thành công (&gt;= 0 hợp lệ)</t>
  </si>
  <si>
    <t>TC_M2_013</t>
  </si>
  <si>
    <t>Mức tồn tối thiểu âm</t>
  </si>
  <si>
    <t>1. Nhập mức tồn tối thiểu âm
2. Lưu</t>
  </si>
  <si>
    <t>MucTonToiThieu=-5</t>
  </si>
  <si>
    <t>Validation 'Mức tồn tối thiểu phải &gt;= 0'</t>
  </si>
  <si>
    <t>TC_M2_014</t>
  </si>
  <si>
    <t>Mức tồn tối thiểu bằng 0</t>
  </si>
  <si>
    <t>1. Nhập mức tồn = 0
2. Lưu</t>
  </si>
  <si>
    <t>MucTonToiThieu=0</t>
  </si>
  <si>
    <t>Lưu thành công</t>
  </si>
  <si>
    <t>TC_M2_015</t>
  </si>
  <si>
    <t>Không chọn loại hàng/đơn vị tính</t>
  </si>
  <si>
    <t>1. Để trống Loại hàng hoặc Đơn vị tính
2. Lưu</t>
  </si>
  <si>
    <t>MaLoaiHang=null</t>
  </si>
  <si>
    <t>Validation bắt buộc chọn</t>
  </si>
  <si>
    <t>TC_M2_016</t>
  </si>
  <si>
    <t>Giá nhập là chữ/ký tự không phải số</t>
  </si>
  <si>
    <t>1. POST GiaNhapThamKhao='abc'</t>
  </si>
  <si>
    <t>GiaNhapThamKhao=abc</t>
  </si>
  <si>
    <t>ModelState invalid; hiển thị lỗi định dạng; không lỗi 500</t>
  </si>
  <si>
    <t>TC_M2_017</t>
  </si>
  <si>
    <t>Sửa hàng hóa</t>
  </si>
  <si>
    <t>1. Mở Edit hàng
2. Đổi giá nhập tham khảo
3. Lưu</t>
  </si>
  <si>
    <t>GiaNhapThamKhao=160000</t>
  </si>
  <si>
    <t>Cập nhật thành công; dữ liệu hiển thị đúng</t>
  </si>
  <si>
    <t>TC_M2_018</t>
  </si>
  <si>
    <t>Đổi trạng thái hàng hóa sang Ngừng hoạt động</t>
  </si>
  <si>
    <t>1. Chuyển trạng thái hàng
2. Mở form lập phiếu nhập mới</t>
  </si>
  <si>
    <t>HH5</t>
  </si>
  <si>
    <t>Hàng không hiển thị trong danh sách chọn khi lập phiếu mới</t>
  </si>
  <si>
    <t>TC_M2_019</t>
  </si>
  <si>
    <t>Không xóa vật lý hàng hóa đã phát sinh nhập/xuất</t>
  </si>
  <si>
    <t>1. Xóa hàng đã có chi tiết phiếu</t>
  </si>
  <si>
    <t>HH1</t>
  </si>
  <si>
    <t>Không xóa; lịch sử còn nguyên</t>
  </si>
  <si>
    <t>TC_M2_020</t>
  </si>
  <si>
    <t>Không cho sửa trực tiếp số lượng tồn qua POST (overposting)</t>
  </si>
  <si>
    <t>1. POST /HangHoa/Edit kèm trường SoLuongTon=9999</t>
  </si>
  <si>
    <t>SoLuongTon=9999</t>
  </si>
  <si>
    <t>Giá trị bị bỏ qua; tồn kho không đổi</t>
  </si>
  <si>
    <t>TC_M2_021</t>
  </si>
  <si>
    <t>Chi tiết hàng hóa hiển thị tồn theo từng kho</t>
  </si>
  <si>
    <t>1. Mở Details hàng có tồn ở nhiều kho</t>
  </si>
  <si>
    <t>HH4 (K1=50, K2=5)</t>
  </si>
  <si>
    <t>Hiển thị tồn K1=50, K2=5; số liệu lấy từ nghiệp vụ, không có ô nhập tay</t>
  </si>
  <si>
    <t>TC_M2_022</t>
  </si>
  <si>
    <t>Tìm kiếm</t>
  </si>
  <si>
    <t>Tìm theo tên hàng</t>
  </si>
  <si>
    <t>1. Nhập từ khóa tên hàng vào ô tìm kiếm
2. Tìm</t>
  </si>
  <si>
    <t>search=chuột</t>
  </si>
  <si>
    <t>Chỉ hiển thị hàng có tên chứa 'chuột'</t>
  </si>
  <si>
    <t>TC_M2_023</t>
  </si>
  <si>
    <t>Tìm theo mã hàng</t>
  </si>
  <si>
    <t>1. Nhập mã hàng
2. Tìm</t>
  </si>
  <si>
    <t>search=HH001</t>
  </si>
  <si>
    <t>Hiển thị đúng hàng có mã tương ứng</t>
  </si>
  <si>
    <t>TC_M2_024</t>
  </si>
  <si>
    <t>Tìm theo tên kho</t>
  </si>
  <si>
    <t>1. Nhập tên kho
2. Tìm</t>
  </si>
  <si>
    <t>search=Kho Hà Nội</t>
  </si>
  <si>
    <t>Hiển thị các hàng liên quan kho đó</t>
  </si>
  <si>
    <t>TC_M2_025</t>
  </si>
  <si>
    <t>Tìm theo tên loại hàng</t>
  </si>
  <si>
    <t>1. Nhập tên loại hàng
2. Tìm</t>
  </si>
  <si>
    <t>search=Điện tử</t>
  </si>
  <si>
    <t>Hiển thị hàng thuộc loại Điện tử</t>
  </si>
  <si>
    <t>TC_M2_026</t>
  </si>
  <si>
    <t>Tìm không có kết quả</t>
  </si>
  <si>
    <t>1. Nhập từ khóa không tồn tại
2. Tìm</t>
  </si>
  <si>
    <t>search=zzzzzz</t>
  </si>
  <si>
    <t>Danh sách rỗng + thông báo 'Không tìm thấy'; không lỗi</t>
  </si>
  <si>
    <t>TC_M2_027</t>
  </si>
  <si>
    <t>Tìm kiếm không phân biệt hoa/thường</t>
  </si>
  <si>
    <t>1. Nhập 'CHUỘT' và 'chuột'</t>
  </si>
  <si>
    <t>search=CHUỘT</t>
  </si>
  <si>
    <t>Hai kết quả giống nhau</t>
  </si>
  <si>
    <t>TC_M2_028</t>
  </si>
  <si>
    <t>Tìm kiếm với ký tự đặc biệt/XSS</t>
  </si>
  <si>
    <t>1. Nhập &lt;script&gt;alert(1)&lt;/script&gt; hoặc ' % _</t>
  </si>
  <si>
    <t>search=&lt;script&gt;alert(1)&lt;/script&gt;</t>
  </si>
  <si>
    <t>Không chạy script (được encode); không lỗi 500</t>
  </si>
  <si>
    <t>TC_M2_029</t>
  </si>
  <si>
    <t>Lọc</t>
  </si>
  <si>
    <t>Lọc theo loại hàng</t>
  </si>
  <si>
    <t>1. Chọn 1 loại hàng
2. Lọc</t>
  </si>
  <si>
    <t>maLoaiHang=LH1</t>
  </si>
  <si>
    <t>Chỉ hiển thị hàng thuộc LH1</t>
  </si>
  <si>
    <t>TC_M2_030</t>
  </si>
  <si>
    <t>Lọc theo đơn vị tính</t>
  </si>
  <si>
    <t>1. Chọn đơn vị tính
2. Lọc</t>
  </si>
  <si>
    <t>maDonViTinh=Hộp</t>
  </si>
  <si>
    <t>Chỉ hiển thị hàng có đơn vị Hộp</t>
  </si>
  <si>
    <t>TC_M2_031</t>
  </si>
  <si>
    <t>Lọc theo kho</t>
  </si>
  <si>
    <t>1. Chọn kho
2. Lọc</t>
  </si>
  <si>
    <t>maKho=K1</t>
  </si>
  <si>
    <t>Chỉ hiển thị hàng có tồn/phát sinh ở K1</t>
  </si>
  <si>
    <t>TC_M2_032</t>
  </si>
  <si>
    <t>Lọc theo trạng thái hàng</t>
  </si>
  <si>
    <t>1. Chọn trạng thái Ngừng hoạt động
2. Lọc</t>
  </si>
  <si>
    <t>trangThai=Ngừng</t>
  </si>
  <si>
    <t>Chỉ hiển thị hàng ngừng hoạt động</t>
  </si>
  <si>
    <t>TC_M2_033</t>
  </si>
  <si>
    <t>Lọc theo khoảng giá</t>
  </si>
  <si>
    <t>1. Nhập giá từ - đến
2. Lọc</t>
  </si>
  <si>
    <t>giaTu=100000, giaDen=200000</t>
  </si>
  <si>
    <t>Chỉ hiển thị hàng có giá trong [100000; 200000] (gồm cả biên)</t>
  </si>
  <si>
    <t>TC_M2_034</t>
  </si>
  <si>
    <t>Khoảng giá từ lớn hơn đến</t>
  </si>
  <si>
    <t>1. Nhập giá từ &gt; giá đến
2. Lọc</t>
  </si>
  <si>
    <t>giaTu=500000, giaDen=100000</t>
  </si>
  <si>
    <t>Danh sách rỗng hoặc báo lỗi hợp lý; không lỗi 500</t>
  </si>
  <si>
    <t>TC_M2_035</t>
  </si>
  <si>
    <t>Lọc theo trạng thái cảnh báo tồn (sắp hết)</t>
  </si>
  <si>
    <t>1. Chọn lọc 'Sắp hết'
2. Lọc</t>
  </si>
  <si>
    <t>canhBao=SapHet</t>
  </si>
  <si>
    <t>Chỉ hiển thị hàng SoLuongTon &lt;= MucTonToiThieu (HH2); hết hàng xử lý theo thiết kế</t>
  </si>
  <si>
    <t>TC_M2_036</t>
  </si>
  <si>
    <t>Kết hợp nhiều bộ lọc</t>
  </si>
  <si>
    <t>1. Chọn loại hàng + kho + khoảng giá
2. Lọc</t>
  </si>
  <si>
    <t>maLoaiHang=LH1, maKho=K1, giaTu=100000</t>
  </si>
  <si>
    <t>Kết quả thỏa đồng thời tất cả điều kiện (AND)</t>
  </si>
  <si>
    <t>TC_M2_037</t>
  </si>
  <si>
    <t>Sắp xếp</t>
  </si>
  <si>
    <t>Sắp xếp tên hàng A→Z</t>
  </si>
  <si>
    <t>1. Chọn sắp xếp tên A→Z</t>
  </si>
  <si>
    <t>sort=ten_asc</t>
  </si>
  <si>
    <t>Danh sách tăng dần theo tên</t>
  </si>
  <si>
    <t>TC_M2_038</t>
  </si>
  <si>
    <t>Sắp xếp tên hàng Z→A</t>
  </si>
  <si>
    <t>1. Chọn sắp xếp tên Z→A</t>
  </si>
  <si>
    <t>sort=ten_desc</t>
  </si>
  <si>
    <t>Danh sách giảm dần theo tên</t>
  </si>
  <si>
    <t>TC_M2_039</t>
  </si>
  <si>
    <t>Sắp xếp giá tăng dần</t>
  </si>
  <si>
    <t>1. Chọn sắp xếp giá tăng</t>
  </si>
  <si>
    <t>sort=gia_asc</t>
  </si>
  <si>
    <t>Giá tăng dần</t>
  </si>
  <si>
    <t>TC_M2_040</t>
  </si>
  <si>
    <t>Sắp xếp giá giảm dần</t>
  </si>
  <si>
    <t>1. Chọn sắp xếp giá giảm</t>
  </si>
  <si>
    <t>sort=gia_desc</t>
  </si>
  <si>
    <t>Giá giảm dần</t>
  </si>
  <si>
    <t>TC_M2_041</t>
  </si>
  <si>
    <t>Sắp xếp mức tồn tối thiểu tăng/giảm</t>
  </si>
  <si>
    <t>1. Chọn sắp xếp theo mức tồn tối thiểu</t>
  </si>
  <si>
    <t>sort=mucton_asc / desc</t>
  </si>
  <si>
    <t>Thứ tự đúng theo MucTonToiThieu</t>
  </si>
  <si>
    <t>TC_M2_042</t>
  </si>
  <si>
    <t>Sắp xếp số lượng tồn tăng/giảm</t>
  </si>
  <si>
    <t>1. Chọn sắp xếp theo số lượng tồn</t>
  </si>
  <si>
    <t>sort=ton_asc / desc</t>
  </si>
  <si>
    <t>Thứ tự đúng theo SoLuongTon thực tế</t>
  </si>
  <si>
    <t>TC_M2_043</t>
  </si>
  <si>
    <t>Giá trị sort không hợp lệ</t>
  </si>
  <si>
    <t>1. Gọi /HangHoa?sort=abc</t>
  </si>
  <si>
    <t>sort=abc</t>
  </si>
  <si>
    <t>Dùng sắp xếp mặc định; không lỗi 500</t>
  </si>
  <si>
    <t>TC_M2_044</t>
  </si>
  <si>
    <t>Phân trang</t>
  </si>
  <si>
    <t>Hiển thị trang đầu</t>
  </si>
  <si>
    <t>1. Mở /HangHoa (&gt;1 trang dữ liệu)</t>
  </si>
  <si>
    <t>page=1</t>
  </si>
  <si>
    <t>Hiển thị tối đa PageSize bản ghi; nút Trước bị vô hiệu</t>
  </si>
  <si>
    <t>TC_M2_045</t>
  </si>
  <si>
    <t>Hiển thị trang giữa</t>
  </si>
  <si>
    <t>1. Chuyển sang trang giữa</t>
  </si>
  <si>
    <t>page=2</t>
  </si>
  <si>
    <t>Dữ liệu đúng đoạn (Skip/Take); có nút Trước và Sau</t>
  </si>
  <si>
    <t>TC_M2_046</t>
  </si>
  <si>
    <t>Hiển thị trang cuối</t>
  </si>
  <si>
    <t>1. Chuyển sang trang cuối</t>
  </si>
  <si>
    <t>page=N</t>
  </si>
  <si>
    <t>Hiển thị phần dữ liệu còn lại; nút Sau bị vô hiệu</t>
  </si>
  <si>
    <t>TC_M2_047</t>
  </si>
  <si>
    <t>Số trang không hợp lệ (0, âm)</t>
  </si>
  <si>
    <t>1. Gọi /HangHoa?page=0 và page=-1</t>
  </si>
  <si>
    <t>page=0 / -1</t>
  </si>
  <si>
    <t>Tự chuyển về trang 1; không lỗi 500</t>
  </si>
  <si>
    <t>TC_M2_048</t>
  </si>
  <si>
    <t>Số trang vượt tổng số trang</t>
  </si>
  <si>
    <t>1. Gọi /HangHoa?page=9999</t>
  </si>
  <si>
    <t>page=9999</t>
  </si>
  <si>
    <t>Trả trang cuối hoặc danh sách rỗng hợp lý; không lỗi</t>
  </si>
  <si>
    <t>TC_M2_049</t>
  </si>
  <si>
    <t>Giữ điều kiện tìm kiếm/lọc/sắp xếp khi chuyển trang</t>
  </si>
  <si>
    <t>1. Tìm + lọc + sắp xếp
2. Nhấn trang 2</t>
  </si>
  <si>
    <t>search=chuột, maLoaiHang=LH1, sort=gia_desc, page=2</t>
  </si>
  <si>
    <t>Link phân trang chứa đủ tham số; trang 2 vẫn giữ đúng điều kiện</t>
  </si>
  <si>
    <t>TC_M2_050</t>
  </si>
  <si>
    <t>Phân trang thực hiện ở tầng DB (Skip/Take)</t>
  </si>
  <si>
    <t>1. Bật log SQL EF Core
2. Mở trang hàng hóa
3. Kiểm tra câu SQL</t>
  </si>
  <si>
    <t>SQL chứa OFFSET/FETCH (hoặc TOP); không tải toàn bộ bảng rồi phân trang trong bộ nhớ/JavaScript</t>
  </si>
  <si>
    <t>TC_M2_051</t>
  </si>
  <si>
    <t>Kết hợp Tìm kiếm + Lọc + Sắp xếp + Phân trang</t>
  </si>
  <si>
    <t>1. Nhập đồng thời cả 4 điều kiện</t>
  </si>
  <si>
    <t>search=chuột, maKho=K1, sort=gia_asc, page=1</t>
  </si>
  <si>
    <t>Thứ tự áp dụng Where → OrderBy → Skip → Take; kết quả và tổng số trang đúng</t>
  </si>
  <si>
    <t>TC_M2_052</t>
  </si>
  <si>
    <t>Tổng số trang khi số bản ghi chia hết/không chia hết PageSize</t>
  </si>
  <si>
    <t>1. Tạo đúng PageSize bản ghi; sau đó thêm 1 bản ghi</t>
  </si>
  <si>
    <t>PageSize=10; 10 và 11 bản ghi</t>
  </si>
  <si>
    <t>10 bản ghi = 1 trang; 11 bản ghi = 2 trang</t>
  </si>
  <si>
    <t>TC_M3_001</t>
  </si>
  <si>
    <t>M3 - Nhập kho</t>
  </si>
  <si>
    <t>Nhà cung cấp</t>
  </si>
  <si>
    <t>Thêm nhà cung cấp hợp lệ</t>
  </si>
  <si>
    <t>1. Mở /NhaCungCap/Create
2. Nhập đủ thông tin
3. Lưu</t>
  </si>
  <si>
    <t>TenNCC=Công ty ABC, SDT=0912345678, Email=abc@mail.com</t>
  </si>
  <si>
    <t>TC_M3_002</t>
  </si>
  <si>
    <t>Tên nhà cung cấp để trống</t>
  </si>
  <si>
    <t>TenNhaCungCap=''</t>
  </si>
  <si>
    <t>Validation bắt buộc</t>
  </si>
  <si>
    <t>TC_M3_003</t>
  </si>
  <si>
    <t>Email nhà cung cấp sai định dạng</t>
  </si>
  <si>
    <t>1. Nhập email sai
2. Lưu</t>
  </si>
  <si>
    <t>Email=abc.com</t>
  </si>
  <si>
    <t>Validation 'Email không hợp lệ'</t>
  </si>
  <si>
    <t>TC_M3_004</t>
  </si>
  <si>
    <t>Số điện thoại nhà cung cấp sai định dạng</t>
  </si>
  <si>
    <t>1. Nhập SĐT chứa chữ
2. Lưu</t>
  </si>
  <si>
    <t>SoDienThoai=abc123</t>
  </si>
  <si>
    <t>Validation 'Số điện thoại không hợp lệ'</t>
  </si>
  <si>
    <t>TC_M3_005</t>
  </si>
  <si>
    <t>Sửa nhà cung cấp</t>
  </si>
  <si>
    <t>1. Sửa địa chỉ
2. Lưu</t>
  </si>
  <si>
    <t>DiaChi=Hà Nội</t>
  </si>
  <si>
    <t>TC_M3_006</t>
  </si>
  <si>
    <t>Nhà cung cấp ngừng hoạt động không dùng cho phiếu nhập mới</t>
  </si>
  <si>
    <t>1. Mở form lập phiếu nhập</t>
  </si>
  <si>
    <t>NCC2 (ngừng)</t>
  </si>
  <si>
    <t>NCC2 không có trong dropdown</t>
  </si>
  <si>
    <t>TC_M3_007</t>
  </si>
  <si>
    <t>Tìm/lọc danh sách nhà cung cấp</t>
  </si>
  <si>
    <t>1. Tìm theo tên
2. Lọc theo trạng thái</t>
  </si>
  <si>
    <t>search=ABC</t>
  </si>
  <si>
    <t>Danh sách đúng điều kiện</t>
  </si>
  <si>
    <t>TC_M3_008</t>
  </si>
  <si>
    <t>Lập phiếu nhập</t>
  </si>
  <si>
    <t>Tạo phiếu nhập Nháp hợp lệ</t>
  </si>
  <si>
    <t>1. Mở /PhieuNhap/Create
2. Chọn NCC, kho, ngày nhập
3. Lưu</t>
  </si>
  <si>
    <t>NCC1, K1, ngày hôm nay</t>
  </si>
  <si>
    <t>Tạo phiếu trạng thái Nháp; NguoiLap = người đăng nhập</t>
  </si>
  <si>
    <t>TC_M3_009</t>
  </si>
  <si>
    <t>Chỉ NCC, kho, hàng đang hoạt động được chọn</t>
  </si>
  <si>
    <t>1. Mở form lập phiếu nhập và thêm chi tiết</t>
  </si>
  <si>
    <t>NCC2, K3, HH5 (ngừng)</t>
  </si>
  <si>
    <t>Các mục ngừng hoạt động không xuất hiện trong dropdown</t>
  </si>
  <si>
    <t>TC_M3_010</t>
  </si>
  <si>
    <t>POST phiếu nhập với NCC ngừng hoạt động</t>
  </si>
  <si>
    <t>1. Gửi POST với MaNhaCungCap=NCC2</t>
  </si>
  <si>
    <t>NCC2</t>
  </si>
  <si>
    <t>Bị từ chối bằng validation phía server</t>
  </si>
  <si>
    <t>TC_M3_011</t>
  </si>
  <si>
    <t>Không chọn nhà cung cấp/kho</t>
  </si>
  <si>
    <t>1. Bỏ trống NCC hoặc kho
2. Lưu</t>
  </si>
  <si>
    <t>MaNhaCungCap=null</t>
  </si>
  <si>
    <t>TC_M3_012</t>
  </si>
  <si>
    <t>Chi tiết phiếu nhập</t>
  </si>
  <si>
    <t>Thêm chi tiết nhập hợp lệ</t>
  </si>
  <si>
    <t>1. Mở phiếu Nháp
2. Thêm hàng, số lượng, đơn giá
3. Lưu</t>
  </si>
  <si>
    <t>HH1, SL=10, DonGia=150000</t>
  </si>
  <si>
    <t>Thêm thành công; ThanhTien=1.500.000</t>
  </si>
  <si>
    <t>TC_M3_013</t>
  </si>
  <si>
    <t>Số lượng nhập bằng 0</t>
  </si>
  <si>
    <t>1. Nhập SL=0
2. Lưu</t>
  </si>
  <si>
    <t>SoLuongNhap=0</t>
  </si>
  <si>
    <t>Validation 'Số lượng phải &gt; 0'</t>
  </si>
  <si>
    <t>TC_M3_014</t>
  </si>
  <si>
    <t>Số lượng nhập âm</t>
  </si>
  <si>
    <t>1. Nhập SL=-5
2. Lưu</t>
  </si>
  <si>
    <t>SoLuongNhap=-5</t>
  </si>
  <si>
    <t>TC_M3_015</t>
  </si>
  <si>
    <t>Số lượng nhập nhỏ nhất hợp lệ = 1</t>
  </si>
  <si>
    <t>1. Nhập SL=1
2. Lưu</t>
  </si>
  <si>
    <t>SoLuongNhap=1</t>
  </si>
  <si>
    <t>TC_M3_016</t>
  </si>
  <si>
    <t>Đơn giá nhập âm</t>
  </si>
  <si>
    <t>1. Nhập đơn giá âm
2. Lưu</t>
  </si>
  <si>
    <t>DonGiaNhap=-1</t>
  </si>
  <si>
    <t>Validation 'Đơn giá phải &gt;= 0'</t>
  </si>
  <si>
    <t>TC_M3_017</t>
  </si>
  <si>
    <t>Đơn giá nhập bằng 0</t>
  </si>
  <si>
    <t>1. Nhập đơn giá = 0
2. Lưu</t>
  </si>
  <si>
    <t>DonGiaNhap=0</t>
  </si>
  <si>
    <t>Lưu thành công; ThanhTien=0</t>
  </si>
  <si>
    <t>TC_M3_018</t>
  </si>
  <si>
    <t>Tính tiền nhập</t>
  </si>
  <si>
    <t>ThanhTien = SoLuongNhap x DonGiaNhap</t>
  </si>
  <si>
    <t>1. Thêm chi tiết
2. Xem thành tiền</t>
  </si>
  <si>
    <t>SL=7, DonGia=12500</t>
  </si>
  <si>
    <t>ThanhTien=87.500 do hệ thống tính</t>
  </si>
  <si>
    <t>Unit</t>
  </si>
  <si>
    <t>TC_M3_019</t>
  </si>
  <si>
    <t>TongTienNhap = tổng ThanhTien các chi tiết</t>
  </si>
  <si>
    <t>1. Thêm 3 chi tiết
2. Xem tổng tiền</t>
  </si>
  <si>
    <t>(2x100000)+(3x50000)+(1x30000)</t>
  </si>
  <si>
    <t>TongTienNhap=380.000</t>
  </si>
  <si>
    <t>TC_M3_020</t>
  </si>
  <si>
    <t>Client gửi ThanhTien/TongTienNhap giả mạo</t>
  </si>
  <si>
    <t>1. POST chi tiết kèm ThanhTien=1</t>
  </si>
  <si>
    <t>SL=10, DonGia=1000, ThanhTien=1</t>
  </si>
  <si>
    <t>Server bỏ qua giá trị client; ThanhTien=10.000</t>
  </si>
  <si>
    <t>TC_M3_021</t>
  </si>
  <si>
    <t>Trạng thái &amp; hoàn tất nhập kho</t>
  </si>
  <si>
    <t>Chuyển phiếu Nháp sang Chờ xác nhận</t>
  </si>
  <si>
    <t>1. Nhấn 'Gửi xác nhận' trên phiếu có chi tiết</t>
  </si>
  <si>
    <t>Phiếu Nháp có 1 chi tiết</t>
  </si>
  <si>
    <t>Trạng thái = Chờ xác nhận</t>
  </si>
  <si>
    <t>TC_M3_022</t>
  </si>
  <si>
    <t>Hoàn tất phiếu nhập hợp lệ cộng tồn đúng</t>
  </si>
  <si>
    <t>1. Hoàn tất phiếu Chờ xác nhận
2. Kiểm tra tồn kho</t>
  </si>
  <si>
    <t>HH1 tồn K1=0; phiếu nhập SL=10</t>
  </si>
  <si>
    <t>Trạng thái = Đã hoàn tất; tồn HH1 tại K1 = 10</t>
  </si>
  <si>
    <t>TC_M3_023</t>
  </si>
  <si>
    <t>Hoàn tất phiếu nhập không có chi tiết</t>
  </si>
  <si>
    <t>1. Hoàn tất phiếu rỗng</t>
  </si>
  <si>
    <t>Phiếu không chi tiết</t>
  </si>
  <si>
    <t>Bị từ chối, thông báo; trạng thái giữ nguyên</t>
  </si>
  <si>
    <t>TC_M3_024</t>
  </si>
  <si>
    <t>Hoàn tất lại phiếu đã hoàn tất không cộng tồn lần 2</t>
  </si>
  <si>
    <t>1. Hoàn tất phiếu
2. Gửi lại yêu cầu hoàn tất
3. Kiểm tra tồn</t>
  </si>
  <si>
    <t>HH1 +10</t>
  </si>
  <si>
    <t>Yêu cầu lần 2 bị từ chối; tồn vẫn = 10</t>
  </si>
  <si>
    <t>TC_M3_025</t>
  </si>
  <si>
    <t>Hoàn tất đồng thời 2 request chỉ cộng tồn một lần</t>
  </si>
  <si>
    <t>1. Gửi đồng thời 2 request hoàn tất cùng phiếu
2. Kiểm tra tồn</t>
  </si>
  <si>
    <t>Task.WhenAll x2</t>
  </si>
  <si>
    <t>Tồn chỉ tăng 1 lần (dùng transaction/RowVersion/điều kiện trạng thái)</t>
  </si>
  <si>
    <t>TC_M3_026</t>
  </si>
  <si>
    <t>Hủy phiếu nhập Nháp</t>
  </si>
  <si>
    <t>1. Hủy phiếu Nháp</t>
  </si>
  <si>
    <t>Phiếu Nháp</t>
  </si>
  <si>
    <t>Trạng thái = Đã hủy</t>
  </si>
  <si>
    <t>TC_M3_027</t>
  </si>
  <si>
    <t>Hủy phiếu nhập Chờ xác nhận</t>
  </si>
  <si>
    <t>1. Hủy phiếu Chờ xác nhận</t>
  </si>
  <si>
    <t>Phiếu Chờ xác nhận</t>
  </si>
  <si>
    <t>TC_M3_028</t>
  </si>
  <si>
    <t>Phiếu nhập đã hủy không làm tăng tồn</t>
  </si>
  <si>
    <t>1. Hủy phiếu
2. Kiểm tra tồn</t>
  </si>
  <si>
    <t>Tồn không đổi</t>
  </si>
  <si>
    <t>TC_M3_029</t>
  </si>
  <si>
    <t>Hoàn tất phiếu đã hủy</t>
  </si>
  <si>
    <t>1. Gửi yêu cầu hoàn tất phiếu Đã hủy</t>
  </si>
  <si>
    <t>Phiếu Đã hủy</t>
  </si>
  <si>
    <t>Bị từ chối (cập nhật trái trạng thái)</t>
  </si>
  <si>
    <t>TC_M3_030</t>
  </si>
  <si>
    <t>Sửa/thêm chi tiết phiếu đã hoàn tất</t>
  </si>
  <si>
    <t>1. Thêm/sửa/xóa chi tiết của phiếu Đã hoàn tất</t>
  </si>
  <si>
    <t>Phiếu Đã hoàn tất</t>
  </si>
  <si>
    <t>Bị từ chối; không thay đổi dữ liệu</t>
  </si>
  <si>
    <t>TC_M3_031</t>
  </si>
  <si>
    <t>Sửa chi tiết phiếu ở trạng thái Nháp</t>
  </si>
  <si>
    <t>1. Sửa số lượng dòng chi tiết
2. Lưu</t>
  </si>
  <si>
    <t>SL 10→20</t>
  </si>
  <si>
    <t>Cập nhật; ThanhTien và TongTien tính lại</t>
  </si>
  <si>
    <t>TC_M3_032</t>
  </si>
  <si>
    <t>Hàng bị ngừng hoạt động giữa chừng trước khi hoàn tất</t>
  </si>
  <si>
    <t>1. Lập phiếu Nháp với HH1
2. Đổi HH1 sang Ngừng
3. Hoàn tất phiếu</t>
  </si>
  <si>
    <t>HH1 ngừng</t>
  </si>
  <si>
    <t>Hệ thống từ chối hoàn tất hoặc xử lý theo quy định; tồn không bị cộng sai</t>
  </si>
  <si>
    <t>TC_M3_033</t>
  </si>
  <si>
    <t>Nhân viên kho hoàn tất phiếu nhập trực tiếp qua POST</t>
  </si>
  <si>
    <t>1. Gửi POST /PhieuNhap/HoanTat/{id}</t>
  </si>
  <si>
    <t>Theo phân quyền đề bài: chỉ Admin/Quản lý duyệt/hoàn tất → bị từ chối nếu không đủ quyền</t>
  </si>
  <si>
    <t>TC_M3_034</t>
  </si>
  <si>
    <t>Danh sách phiếu nhập</t>
  </si>
  <si>
    <t>Tìm phiếu nhập theo mã phiếu/nhà cung cấp</t>
  </si>
  <si>
    <t>1. Nhập mã phiếu hoặc tên NCC
2. Tìm</t>
  </si>
  <si>
    <t>Hiển thị đúng phiếu</t>
  </si>
  <si>
    <t>TC_M3_035</t>
  </si>
  <si>
    <t>Lọc phiếu nhập theo kho/ngày/trạng thái</t>
  </si>
  <si>
    <t>1. Chọn kho, khoảng ngày, trạng thái
2. Lọc</t>
  </si>
  <si>
    <t>maKho=K1, tuNgay, denNgay, trangThai=Đã hoàn tất</t>
  </si>
  <si>
    <t>Chỉ hiển thị phiếu thỏa điều kiện</t>
  </si>
  <si>
    <t>TC_M3_036</t>
  </si>
  <si>
    <t>Sắp xếp phiếu nhập theo ngày/tổng tiền</t>
  </si>
  <si>
    <t>1. Chọn sắp xếp ngày giảm; tổng tiền tăng</t>
  </si>
  <si>
    <t>sort=ngay_desc</t>
  </si>
  <si>
    <t>Thứ tự đúng</t>
  </si>
  <si>
    <t>TC_M3_037</t>
  </si>
  <si>
    <t>Phân trang danh sách phiếu nhập</t>
  </si>
  <si>
    <t>1. Mở danh sách có nhiều phiếu
2. Chuyển trang</t>
  </si>
  <si>
    <t>Phân trang đúng, giữ điều kiện lọc</t>
  </si>
  <si>
    <t>TC_M3_038</t>
  </si>
  <si>
    <t>Lọc ngày: từ ngày lớn hơn đến ngày</t>
  </si>
  <si>
    <t>1. Chọn tuNgay &gt; denNgay
2. Lọc</t>
  </si>
  <si>
    <t>tuNgay=2026-10-10, denNgay=2026-10-01</t>
  </si>
  <si>
    <t>Báo lỗi hợp lệ hoặc rỗng; không lỗi 500</t>
  </si>
  <si>
    <t>TC_M4_001</t>
  </si>
  <si>
    <t>M4 - Xuất kho</t>
  </si>
  <si>
    <t>Bộ phận nhận</t>
  </si>
  <si>
    <t>Thêm bộ phận nhận hợp lệ</t>
  </si>
  <si>
    <t>1. Mở /BoPhanNhan/Create
2. Nhập thông tin
3. Lưu</t>
  </si>
  <si>
    <t>TenBoPhan=Phòng Kế toán, NguoiDaiDien=Nguyễn A, SDT=0987654321</t>
  </si>
  <si>
    <t>TC_M4_002</t>
  </si>
  <si>
    <t>Tên bộ phận để trống</t>
  </si>
  <si>
    <t>TenBoPhan=''</t>
  </si>
  <si>
    <t>TC_M4_003</t>
  </si>
  <si>
    <t>Số điện thoại bộ phận sai định dạng</t>
  </si>
  <si>
    <t>1. Nhập SĐT sai
2. Lưu</t>
  </si>
  <si>
    <t>SoDienThoai=12ab</t>
  </si>
  <si>
    <t>TC_M4_004</t>
  </si>
  <si>
    <t>Sửa bộ phận nhận</t>
  </si>
  <si>
    <t>1. Sửa người đại diện
2. Lưu</t>
  </si>
  <si>
    <t>NguoiDaiDien=Trần B</t>
  </si>
  <si>
    <t>TC_M4_005</t>
  </si>
  <si>
    <t>Bộ phận ngừng hoạt động không dùng cho phiếu xuất mới</t>
  </si>
  <si>
    <t>1. Mở form lập phiếu xuất</t>
  </si>
  <si>
    <t>BP2 (ngừng)</t>
  </si>
  <si>
    <t>BP2 không có trong dropdown</t>
  </si>
  <si>
    <t>TC_M4_006</t>
  </si>
  <si>
    <t>Lập phiếu xuất</t>
  </si>
  <si>
    <t>Tạo phiếu xuất Nháp hợp lệ</t>
  </si>
  <si>
    <t>1. Mở /PhieuXuat/Create
2. Chọn bộ phận, kho, ngày
3. Lưu</t>
  </si>
  <si>
    <t>BP1, K1</t>
  </si>
  <si>
    <t>Tạo phiếu Nháp; NguoiLap = người đăng nhập</t>
  </si>
  <si>
    <t>TC_M4_007</t>
  </si>
  <si>
    <t>POST phiếu xuất với bộ phận ngừng hoạt động</t>
  </si>
  <si>
    <t>1. Gửi POST với MaBoPhan=BP2</t>
  </si>
  <si>
    <t>BP2</t>
  </si>
  <si>
    <t>Bị từ chối phía server</t>
  </si>
  <si>
    <t>TC_M4_008</t>
  </si>
  <si>
    <t>POST phiếu xuất với kho ngừng hoạt động</t>
  </si>
  <si>
    <t>1. Gửi POST với MaKho=K3</t>
  </si>
  <si>
    <t>TC_M4_009</t>
  </si>
  <si>
    <t>Không chọn bộ phận/kho</t>
  </si>
  <si>
    <t>1. Bỏ trống bộ phận hoặc kho
2. Lưu</t>
  </si>
  <si>
    <t>MaBoPhan=null</t>
  </si>
  <si>
    <t>TC_M4_010</t>
  </si>
  <si>
    <t>Kiểm tra tồn khi xuất</t>
  </si>
  <si>
    <t>Xuất số lượng nhỏ hơn tồn</t>
  </si>
  <si>
    <t>1. Thêm chi tiết xuất nhỏ hơn tồn</t>
  </si>
  <si>
    <t>Tồn HH1/K1=100; xuất 30</t>
  </si>
  <si>
    <t>Thêm thành công</t>
  </si>
  <si>
    <t>TC_M4_011</t>
  </si>
  <si>
    <t>Xuất đúng bằng số lượng tồn</t>
  </si>
  <si>
    <t>1. Thêm chi tiết xuất SL = tồn</t>
  </si>
  <si>
    <t>Tồn=100; xuất 100</t>
  </si>
  <si>
    <t>Cho phép (SoLuongXuat &lt;= SoLuongTon)</t>
  </si>
  <si>
    <t>TC_M4_012</t>
  </si>
  <si>
    <t>Xuất vượt tồn 1 đơn vị</t>
  </si>
  <si>
    <t>1. Thêm chi tiết xuất SL = tồn + 1</t>
  </si>
  <si>
    <t>Tồn=100; xuất 101</t>
  </si>
  <si>
    <t>Từ chối, báo 'vượt tồn kho'; không lưu chi tiết</t>
  </si>
  <si>
    <t>TC_M4_013</t>
  </si>
  <si>
    <t>Xuất khi tồn bằng 0</t>
  </si>
  <si>
    <t>1. Thêm chi tiết xuất hàng hết</t>
  </si>
  <si>
    <t>HH3 tồn 0; xuất 1</t>
  </si>
  <si>
    <t>Từ chối, báo hết hàng</t>
  </si>
  <si>
    <t>TC_M4_014</t>
  </si>
  <si>
    <t>Số lượng xuất bằng 0</t>
  </si>
  <si>
    <t>SoLuongXuat=0</t>
  </si>
  <si>
    <t>TC_M4_015</t>
  </si>
  <si>
    <t>Số lượng xuất âm</t>
  </si>
  <si>
    <t>1. Nhập SL âm
2. Lưu</t>
  </si>
  <si>
    <t>SoLuongXuat=-3</t>
  </si>
  <si>
    <t>TC_M4_016</t>
  </si>
  <si>
    <t>Kiểm tra tồn đúng kho</t>
  </si>
  <si>
    <t>1. Lập phiếu xuất từ kho K2
2. Thêm hàng chỉ có tồn ở K1</t>
  </si>
  <si>
    <t>HH1 (K1=100, K2=0); xuất 5 từ K2</t>
  </si>
  <si>
    <t>Từ chối vì tồn tại K2 = 0</t>
  </si>
  <si>
    <t>TC_M4_017</t>
  </si>
  <si>
    <t>Nhiều dòng cùng hàng cộng dồn vượt tồn</t>
  </si>
  <si>
    <t>1. Thêm dòng 1: 60
2. Thêm dòng 2: 60 (cùng hàng, cùng kho)</t>
  </si>
  <si>
    <t>Tồn=100</t>
  </si>
  <si>
    <t>Dòng 2 bị từ chối vì tổng 120 &gt; tồn</t>
  </si>
  <si>
    <t>TC_M4_018</t>
  </si>
  <si>
    <t>Kiểm tra lại tồn tại thời điểm hoàn tất</t>
  </si>
  <si>
    <t>1. Lập phiếu A xuất 80 (tồn 100)
2. Hoàn tất phiếu B xuất 50 trước
3. Hoàn tất phiếu A</t>
  </si>
  <si>
    <t>Tồn=100; A=80, B=50</t>
  </si>
  <si>
    <t>Phiếu A bị từ chối khi hoàn tất (tồn còn 50); tồn không âm</t>
  </si>
  <si>
    <t>TC_M4_019</t>
  </si>
  <si>
    <t>Hoàn tất &amp; hủy phiếu xuất</t>
  </si>
  <si>
    <t>Hoàn tất phiếu xuất hợp lệ trừ tồn đúng</t>
  </si>
  <si>
    <t>1. Hoàn tất phiếu xuất 30
2. Kiểm tra tồn</t>
  </si>
  <si>
    <t>Tồn=100; xuất 30</t>
  </si>
  <si>
    <t>Trạng thái = Đã hoàn tất; tồn = 70</t>
  </si>
  <si>
    <t>TC_M4_020</t>
  </si>
  <si>
    <t>Hoàn tất lại phiếu xuất không trừ tồn lần 2</t>
  </si>
  <si>
    <t>1. Hoàn tất phiếu
2. Gửi lại hoàn tất
3. Kiểm tra tồn</t>
  </si>
  <si>
    <t>Lần 2 bị từ chối; tồn vẫn 70</t>
  </si>
  <si>
    <t>TC_M4_021</t>
  </si>
  <si>
    <t>Hai phiếu xuất đồng thời không làm tồn âm</t>
  </si>
  <si>
    <t>1. Tồn=100; 2 phiếu xuất 70
2. Hoàn tất đồng thời</t>
  </si>
  <si>
    <t>Chỉ 1 phiếu thành công; tồn=30 (không âm)</t>
  </si>
  <si>
    <t>TC_M4_022</t>
  </si>
  <si>
    <t>Hoàn tất phiếu xuất không có chi tiết</t>
  </si>
  <si>
    <t>Phiếu rỗng</t>
  </si>
  <si>
    <t>Bị từ chối</t>
  </si>
  <si>
    <t>TC_M4_023</t>
  </si>
  <si>
    <t>Hủy phiếu xuất Nháp/Chờ xác nhận</t>
  </si>
  <si>
    <t>1. Hủy phiếu Nháp
2. Hủy phiếu Chờ xác nhận</t>
  </si>
  <si>
    <t>Phiếu Nháp / Chờ</t>
  </si>
  <si>
    <t>Trạng thái = Đã hủy; tồn không đổi</t>
  </si>
  <si>
    <t>TC_M4_024</t>
  </si>
  <si>
    <t>Không hủy trực tiếp phiếu xuất đã hoàn tất</t>
  </si>
  <si>
    <t>1. Gửi yêu cầu hủy phiếu Đã hoàn tất</t>
  </si>
  <si>
    <t>Bị từ chối; tồn và lịch sử giữ nguyên</t>
  </si>
  <si>
    <t>TC_M4_025</t>
  </si>
  <si>
    <t>Hoàn tất phiếu xuất đã hủy</t>
  </si>
  <si>
    <t>1. Gửi hoàn tất phiếu Đã hủy</t>
  </si>
  <si>
    <t>Bị từ chối (trái trạng thái)</t>
  </si>
  <si>
    <t>TC_M4_026</t>
  </si>
  <si>
    <t>Sửa chi tiết phiếu xuất đã hoàn tất</t>
  </si>
  <si>
    <t>1. Thêm/sửa/xóa chi tiết phiếu Đã hoàn tất</t>
  </si>
  <si>
    <t>TC_M4_027</t>
  </si>
  <si>
    <t>Xóa chi tiết ở phiếu Nháp</t>
  </si>
  <si>
    <t>1. Xóa 1 dòng chi tiết phiếu Nháp</t>
  </si>
  <si>
    <t>Dòng bị xóa; phiếu cập nhật đúng</t>
  </si>
  <si>
    <t>TC_M4_028</t>
  </si>
  <si>
    <t>Nhân viên kho lập phiếu xuất (được phép)</t>
  </si>
  <si>
    <t>1. Lập phiếu xuất hợp lệ</t>
  </si>
  <si>
    <t>Tạo được phiếu theo quyền nhân viên kho</t>
  </si>
  <si>
    <t>TC_M4_029</t>
  </si>
  <si>
    <t>Nhân viên kho hoàn tất phiếu xuất khi không đủ quyền</t>
  </si>
  <si>
    <t>1. Gửi POST /PhieuXuat/HoanTat/{id}</t>
  </si>
  <si>
    <t>Theo phân quyền: bị từ chối nếu chỉ Admin/Quản lý được hoàn tất</t>
  </si>
  <si>
    <t>TC_M4_030</t>
  </si>
  <si>
    <t>Danh sách phiếu xuất</t>
  </si>
  <si>
    <t>Tìm phiếu xuất theo mã phiếu/bộ phận</t>
  </si>
  <si>
    <t>1. Nhập mã hoặc tên bộ phận
2. Tìm</t>
  </si>
  <si>
    <t>search=Kế toán</t>
  </si>
  <si>
    <t>TC_M4_031</t>
  </si>
  <si>
    <t>Lọc phiếu xuất theo kho/ngày/trạng thái</t>
  </si>
  <si>
    <t>1. Chọn kho, ngày, trạng thái
2. Lọc</t>
  </si>
  <si>
    <t>maKho=K1, trangThai=Nháp</t>
  </si>
  <si>
    <t>Kết quả đúng điều kiện</t>
  </si>
  <si>
    <t>TC_M4_032</t>
  </si>
  <si>
    <t>Sắp xếp và phân trang phiếu xuất</t>
  </si>
  <si>
    <t>1. Sắp xếp theo ngày
2. Chuyển trang</t>
  </si>
  <si>
    <t>sort=ngay_desc, page=2</t>
  </si>
  <si>
    <t>Thứ tự và phân trang đúng; giữ điều kiện</t>
  </si>
  <si>
    <t>TC_M5_001</t>
  </si>
  <si>
    <t>M5 - Tồn kho &amp; Thống kê</t>
  </si>
  <si>
    <t>Tồn kho</t>
  </si>
  <si>
    <t>TonCuoi = TonDau + TongNhap - TongXuat</t>
  </si>
  <si>
    <t>1. Hoàn tất nhập 100 và xuất 30
2. Xem tồn</t>
  </si>
  <si>
    <t>TonDau=0; nhập 100; xuất 30</t>
  </si>
  <si>
    <t>Tồn cuối = 70</t>
  </si>
  <si>
    <t>TC_M5_002</t>
  </si>
  <si>
    <t>Chỉ tính phiếu Đã hoàn tất</t>
  </si>
  <si>
    <t>1. Tạo phiếu nhập Nháp, Chờ xác nhận, Đã hủy
2. Xem tồn</t>
  </si>
  <si>
    <t>3 phiếu chưa hoàn tất</t>
  </si>
  <si>
    <t>Tồn không thay đổi</t>
  </si>
  <si>
    <t>TC_M5_003</t>
  </si>
  <si>
    <t>Tồn tính độc lập theo từng kho</t>
  </si>
  <si>
    <t>1. Nhập HH4 vào K1=50 và K2=5
2. Xem tồn theo kho</t>
  </si>
  <si>
    <t>HH4</t>
  </si>
  <si>
    <t>K1=50; K2=5; không cộng lẫn</t>
  </si>
  <si>
    <t>TC_M5_004</t>
  </si>
  <si>
    <t>Không cho sửa trực tiếp tồn kho từ giao diện/URL</t>
  </si>
  <si>
    <t>1. Gửi POST /TonKho/Edit hoặc cập nhật SoLuongTon</t>
  </si>
  <si>
    <t>SoLuongTon=999</t>
  </si>
  <si>
    <t>Không có chức năng sửa (404/405) hoặc bị từ chối; tồn không đổi</t>
  </si>
  <si>
    <t>TC_M5_005</t>
  </si>
  <si>
    <t>Hàng chưa phát sinh nghiệp vụ có tồn = 0</t>
  </si>
  <si>
    <t>1. Tạo hàng mới
2. Xem tồn</t>
  </si>
  <si>
    <t>Hàng mới</t>
  </si>
  <si>
    <t>Hiển thị tồn 0, không lỗi null</t>
  </si>
  <si>
    <t>TC_M5_006</t>
  </si>
  <si>
    <t>Tìm/lọc danh sách tồn kho</t>
  </si>
  <si>
    <t>1. Tìm theo tên hàng
2. Lọc theo kho</t>
  </si>
  <si>
    <t>Hiển thị tồn đúng điều kiện</t>
  </si>
  <si>
    <t>TC_M5_007</t>
  </si>
  <si>
    <t>Cảnh báo tồn</t>
  </si>
  <si>
    <t>Hàng sắp hết khi tồn &lt;= mức tối thiểu</t>
  </si>
  <si>
    <t>1. Xem cảnh báo</t>
  </si>
  <si>
    <t>HH2: tồn 5, min 10</t>
  </si>
  <si>
    <t>HH2 gắn nhãn 'Sắp hết'</t>
  </si>
  <si>
    <t>TC_M5_008</t>
  </si>
  <si>
    <t>Tồn bằng đúng mức tối thiểu</t>
  </si>
  <si>
    <t>HH2: tồn 10, min 10</t>
  </si>
  <si>
    <t>Vẫn là 'Sắp hết' (điều kiện &lt;=)</t>
  </si>
  <si>
    <t>TC_M5_009</t>
  </si>
  <si>
    <t>Hết hàng khi tồn = 0</t>
  </si>
  <si>
    <t>HH3: tồn 0</t>
  </si>
  <si>
    <t>HH3 gắn nhãn 'Hết hàng'</t>
  </si>
  <si>
    <t>TC_M5_010</t>
  </si>
  <si>
    <t>Hàng còn nhiều không bị cảnh báo</t>
  </si>
  <si>
    <t>HH1: tồn 100, min 10</t>
  </si>
  <si>
    <t>Không có cảnh báo</t>
  </si>
  <si>
    <t>TC_M5_011</t>
  </si>
  <si>
    <t>Mức tối thiểu = 0 và tồn = 0</t>
  </si>
  <si>
    <t>tồn 0, min 0</t>
  </si>
  <si>
    <t>Hiển thị 'Hết hàng' (ưu tiên); không báo trùng nhãn</t>
  </si>
  <si>
    <t>TC_M5_012</t>
  </si>
  <si>
    <t>Cảnh báo cập nhật sau khi hoàn tất xuất</t>
  </si>
  <si>
    <t>1. Hoàn tất xuất làm tồn &lt;= mức tối thiểu
2. Xem cảnh báo</t>
  </si>
  <si>
    <t>Tồn 20→8, min 10</t>
  </si>
  <si>
    <t>Hàng chuyển sang 'Sắp hết'</t>
  </si>
  <si>
    <t>TC_M5_013</t>
  </si>
  <si>
    <t>Lịch sử nhập xuất</t>
  </si>
  <si>
    <t>Hiển thị đủ thông tin lịch sử</t>
  </si>
  <si>
    <t>1. Mở lịch sử của một hàng</t>
  </si>
  <si>
    <t>Có ngày, loại (Nhập/Xuất), mã phiếu, số lượng, người thực hiện, ghi chú</t>
  </si>
  <si>
    <t>TC_M5_014</t>
  </si>
  <si>
    <t>Lịch sử sắp xếp theo thời gian mới nhất</t>
  </si>
  <si>
    <t>1. Mở lịch sử có nhiều giao dịch</t>
  </si>
  <si>
    <t>Thứ tự thời gian đúng</t>
  </si>
  <si>
    <t>TC_M5_015</t>
  </si>
  <si>
    <t>Lọc lịch sử theo hàng/kho</t>
  </si>
  <si>
    <t>1. Chọn hàng và kho
2. Lọc</t>
  </si>
  <si>
    <t>HH1, K1</t>
  </si>
  <si>
    <t>Chỉ hiển thị giao dịch của hàng/kho đó</t>
  </si>
  <si>
    <t>TC_M5_016</t>
  </si>
  <si>
    <t>Hoàn tất phiếu sinh bản ghi lịch sử</t>
  </si>
  <si>
    <t>1. Hoàn tất phiếu nhập
2. Xem lịch sử</t>
  </si>
  <si>
    <t>Phiếu nhập 10</t>
  </si>
  <si>
    <t>Có 1 bản ghi 'Nhập' với đúng số lượng</t>
  </si>
  <si>
    <t>TC_M5_017</t>
  </si>
  <si>
    <t>Phiếu hủy không sinh lịch sử</t>
  </si>
  <si>
    <t>1. Hủy phiếu
2. Xem lịch sử</t>
  </si>
  <si>
    <t>Không có bản ghi lịch sử</t>
  </si>
  <si>
    <t>TC_M5_018</t>
  </si>
  <si>
    <t>Tồn sau giao dịch khớp tồn hiện tại</t>
  </si>
  <si>
    <t>1. Thực hiện chuỗi nhập/xuất
2. So sánh tồn sau giao dịch cuối với tồn hiện tại</t>
  </si>
  <si>
    <t>Nhập 100, xuất 30, nhập 20</t>
  </si>
  <si>
    <t>Tồn sau giao dịch cuối = 90 = tồn hiện tại</t>
  </si>
  <si>
    <t>TC_M5_019</t>
  </si>
  <si>
    <t>Dashboard</t>
  </si>
  <si>
    <t>Tổng số hàng hóa và số kho</t>
  </si>
  <si>
    <t>1. Mở Dashboard
2. Đối chiếu DB</t>
  </si>
  <si>
    <t>Seed chuẩn</t>
  </si>
  <si>
    <t>Số liệu khớp COUNT trong DB</t>
  </si>
  <si>
    <t>TC_M5_020</t>
  </si>
  <si>
    <t>Số phiếu nhập/xuất trong ngày</t>
  </si>
  <si>
    <t>1. Tạo phiếu hôm nay và hôm qua
2. Xem Dashboard</t>
  </si>
  <si>
    <t>2 phiếu nhập hôm nay</t>
  </si>
  <si>
    <t>Chỉ đếm phiếu của ngày hiện tại</t>
  </si>
  <si>
    <t>TC_M5_021</t>
  </si>
  <si>
    <t>Số hàng sắp hết và hết hàng</t>
  </si>
  <si>
    <t>1. Xem Dashboard</t>
  </si>
  <si>
    <t>HH2, HH3</t>
  </si>
  <si>
    <t>Sắp hết=1, hết hàng=1 (khớp cảnh báo tồn)</t>
  </si>
  <si>
    <t>TC_M5_022</t>
  </si>
  <si>
    <t>Tổng số lượng nhập/xuất theo kỳ</t>
  </si>
  <si>
    <t>1. Chọn kỳ
2. Xem tổng</t>
  </si>
  <si>
    <t>tuNgay–denNgay</t>
  </si>
  <si>
    <t>Khớp SUM(SoLuong) phiếu Đã hoàn tất trong kỳ</t>
  </si>
  <si>
    <t>TC_M5_023</t>
  </si>
  <si>
    <t>Dashboard khi CSDL rỗng</t>
  </si>
  <si>
    <t>1. Xóa dữ liệu nghiệp vụ
2. Mở Dashboard</t>
  </si>
  <si>
    <t>DB rỗng</t>
  </si>
  <si>
    <t>Hiển thị 0, không lỗi chia 0/null</t>
  </si>
  <si>
    <t>TC_M5_024</t>
  </si>
  <si>
    <t>Thống kê LINQ</t>
  </si>
  <si>
    <t>Tổng nhập theo hàng/kho/tháng</t>
  </si>
  <si>
    <t>1. Mở thống kê nhập
2. Đối chiếu SQL</t>
  </si>
  <si>
    <t>Tháng 10/2026</t>
  </si>
  <si>
    <t>Kết quả khớp truy vấn GROUP BY trong DB</t>
  </si>
  <si>
    <t>TC_M5_025</t>
  </si>
  <si>
    <t>Tổng xuất theo hàng/kho/tháng</t>
  </si>
  <si>
    <t>1. Mở thống kê xuất
2. Đối chiếu SQL</t>
  </si>
  <si>
    <t>TC_M5_026</t>
  </si>
  <si>
    <t>Hàng nhập nhiều nhất</t>
  </si>
  <si>
    <t>1. Xem Top hàng nhập</t>
  </si>
  <si>
    <t>Đúng hàng có tổng SL nhập lớn nhất</t>
  </si>
  <si>
    <t>TC_M5_027</t>
  </si>
  <si>
    <t>Hàng xuất nhiều nhất</t>
  </si>
  <si>
    <t>1. Xem Top hàng xuất</t>
  </si>
  <si>
    <t>Đúng hàng có tổng SL xuất lớn nhất</t>
  </si>
  <si>
    <t>TC_M5_028</t>
  </si>
  <si>
    <t>Nhà cung cấp có giá trị nhập lớn</t>
  </si>
  <si>
    <t>1. Xem thống kê NCC</t>
  </si>
  <si>
    <t>Xếp hạng theo tổng tiền nhập (chỉ phiếu Đã hoàn tất)</t>
  </si>
  <si>
    <t>TC_M5_029</t>
  </si>
  <si>
    <t>Bộ phận nhận nhiều hàng nhất</t>
  </si>
  <si>
    <t>1. Xem thống kê bộ phận</t>
  </si>
  <si>
    <t>Xếp hạng theo tổng SL xuất đã hoàn tất</t>
  </si>
  <si>
    <t>TC_M5_030</t>
  </si>
  <si>
    <t>Số phiếu theo trạng thái</t>
  </si>
  <si>
    <t>1. Xem thống kê theo trạng thái</t>
  </si>
  <si>
    <t>Số lượng từng trạng thái khớp DB (Nháp/Chờ/Hoàn tất/Hủy)</t>
  </si>
  <si>
    <t>TC_M5_031</t>
  </si>
  <si>
    <t>Thống kê theo khoảng ngày chọn</t>
  </si>
  <si>
    <t>1. Chọn tuNgay–denNgay
2. Xem</t>
  </si>
  <si>
    <t>2026-10-01 → 2026-10-31</t>
  </si>
  <si>
    <t>Chỉ tính dữ liệu trong khoảng (gồm cả ngày biên)</t>
  </si>
  <si>
    <t>TC_M5_032</t>
  </si>
  <si>
    <t>Khoảng ngày không có dữ liệu</t>
  </si>
  <si>
    <t>1. Chọn khoảng ngày chưa phát sinh</t>
  </si>
  <si>
    <t>2020-01-01 → 2020-01-31</t>
  </si>
  <si>
    <t>Hiển thị rỗng/0; không lỗi</t>
  </si>
  <si>
    <t>TC_M5_033</t>
  </si>
  <si>
    <t>Từ ngày lớn hơn đến ngày</t>
  </si>
  <si>
    <t>1. Nhập tuNgay &gt; denNgay</t>
  </si>
  <si>
    <t>2026-10-31 → 2026-10-01</t>
  </si>
  <si>
    <t>Báo lỗi hợp lệ; không lỗi 500</t>
  </si>
  <si>
    <t>TC_M6_001</t>
  </si>
  <si>
    <t>M6 - Tích hợp &amp; Phi chức năng</t>
  </si>
  <si>
    <t>Tích hợp E2E</t>
  </si>
  <si>
    <t>Luồng đầy đủ nhập → tồn → xuất → tồn → lịch sử</t>
  </si>
  <si>
    <t>1. Lập &amp; hoàn tất phiếu nhập 100
2. Lập &amp; hoàn tất phiếu xuất 40
3. Xem tồn, cảnh báo, lịch sử, Dashboard</t>
  </si>
  <si>
    <t>Tồn=60; lịch sử 2 dòng; Dashboard/thống kê khớp</t>
  </si>
  <si>
    <t>TC_M6_002</t>
  </si>
  <si>
    <t>POST thiếu Anti-forgery token</t>
  </si>
  <si>
    <t>1. Gửi POST form không kèm __RequestVerificationToken</t>
  </si>
  <si>
    <t>Trả 400; không thực hiện thao tác</t>
  </si>
  <si>
    <t>TC_M6_003</t>
  </si>
  <si>
    <t>XSS lưu trữ trong tên hàng/ghi chú</t>
  </si>
  <si>
    <t>1. Tạo hàng với tên chứa &lt;script&gt;
2. Mở danh sách</t>
  </si>
  <si>
    <t>TenHang=&lt;script&gt;alert(1)&lt;/script&gt;</t>
  </si>
  <si>
    <t>Nội dung được HTML-encode, script không chạy</t>
  </si>
  <si>
    <t>TC_M6_004</t>
  </si>
  <si>
    <t>Dữ liệu mẫu</t>
  </si>
  <si>
    <t>Dữ liệu mẫu đáp ứng số lượng tối thiểu</t>
  </si>
  <si>
    <t>CSDL đã seed</t>
  </si>
  <si>
    <t>1. Đếm bản ghi từng bảng</t>
  </si>
  <si>
    <t>≥5 loại hàng, 5 ĐVT, 3 kho, 30–40 hàng, 8–10 NCC, 6–8 bộ phận, 30–40 phiếu nhập/xuất</t>
  </si>
  <si>
    <t>TC_M6_005</t>
  </si>
  <si>
    <t>Dữ liệu mẫu có đủ tình huống</t>
  </si>
  <si>
    <t>1. Kiểm tra trạng thái phiếu và cảnh báo</t>
  </si>
  <si>
    <t>Có hàng còn nhiều/sắp hết/hết hàng; phiếu đủ 4 trạng thái; có tình huống xuất vượt tồn</t>
  </si>
  <si>
    <t>TC_M6_006</t>
  </si>
  <si>
    <t>Migration</t>
  </si>
  <si>
    <t>Tạo CSDL từ Migration trên SQL Server trống</t>
  </si>
  <si>
    <t>SQL Server trống</t>
  </si>
  <si>
    <t>1. Chạy dotnet ef database update</t>
  </si>
  <si>
    <t>CSDL tạo thành công, đủ bảng và ràng buộc FK</t>
  </si>
  <si>
    <t>TC_M6_007</t>
  </si>
  <si>
    <t>Giao diện</t>
  </si>
  <si>
    <t>Định dạng tiền tệ và số lượng</t>
  </si>
  <si>
    <t>Có dữ liệu</t>
  </si>
  <si>
    <t>1. Xem trang phiếu nhập/hàng hóa</t>
  </si>
  <si>
    <t>Tiền hiển thị 1.500.000 ₫ (vi-VN); số lượng có phân cách nghìn</t>
  </si>
  <si>
    <t>TC_M6_008</t>
  </si>
  <si>
    <t>Hiển thị tên đối tượng thay cho mã khóa ngoại</t>
  </si>
  <si>
    <t>1. Mở danh sách hàng, phiếu nhập/xuất</t>
  </si>
  <si>
    <t>Hiển thị tên loại hàng, kho, NCC, bộ phận thay vì chỉ mã</t>
  </si>
  <si>
    <t>TC_M6_009</t>
  </si>
  <si>
    <t>Hiển thị nút theo trạng thái phiếu</t>
  </si>
  <si>
    <t>Phiếu ở nhiều trạng thái</t>
  </si>
  <si>
    <t>1. Mở phiếu Nháp, Chờ, Hoàn tất, Hủy</t>
  </si>
  <si>
    <t>Nút Hoàn tất/Hủy chỉ hiện khi phù hợp trạng thái</t>
  </si>
  <si>
    <t>TC_M6_010</t>
  </si>
  <si>
    <t>Hiệu năng</t>
  </si>
  <si>
    <t>Danh sách hàng hóa với 1000+ bản ghi</t>
  </si>
  <si>
    <t>Seed 1000 hàng</t>
  </si>
  <si>
    <t>1. Mở /HangHoa
2. Đo thời gian phản hồi</t>
  </si>
  <si>
    <t>1000 hàng</t>
  </si>
  <si>
    <t>Phản hồi &lt; 2 giây; chỉ truy vấn 1 trang dữ liệu</t>
  </si>
  <si>
    <t>TC_M6_011</t>
  </si>
  <si>
    <t>Mật khẩu lưu trong CSDL</t>
  </si>
  <si>
    <t>Có tài khoản</t>
  </si>
  <si>
    <t>1. Kiểm tra cột MatKhau</t>
  </si>
  <si>
    <t>Khuyến nghị lưu băm (hash); ghi nhận nếu đang lưu plaintext</t>
  </si>
  <si>
    <t>TỔNG HỢP KẾT QUẢ KIỂM THỬ – ĐỀ TÀI 21: QUẢN LÝ KHO HÀNG NHẬP–XUẤT–TỒN (ASP.NET Core 10 MVC)</t>
  </si>
  <si>
    <t>Tổng TC</t>
  </si>
  <si>
    <t>Pass</t>
  </si>
  <si>
    <t>Fail</t>
  </si>
  <si>
    <t>Blocked</t>
  </si>
  <si>
    <t>% Pass</t>
  </si>
  <si>
    <t>Đã/có thể tự động hóa (xUnit)</t>
  </si>
  <si>
    <t>TỔNG</t>
  </si>
  <si>
    <t>Phân bố theo mức ưu tiên</t>
  </si>
  <si>
    <t>Phân bố theo loại test</t>
  </si>
  <si>
    <t>HƯỚNG DẪN SỬ DỤNG</t>
  </si>
  <si>
    <t>Cột cần điền</t>
  </si>
  <si>
    <t>Kết quả thực tế, Trạng thái (Pass/Fail/Blocked/Chưa test), Người test, Ngày test, Ghi chú – các ô nền vàng ở sheet Testcase.</t>
  </si>
  <si>
    <t>Mã testcase</t>
  </si>
  <si>
    <t>TC_&lt;module&gt;_&lt;số thứ tự&gt;. Dùng làm [Trait("TC", "TC_M3_015")] trong xUnit để truy vết.</t>
  </si>
  <si>
    <t>Integration (WAF) = viết bằng xUnit + WebApplicationFactory; Unit = test lớp nghiệp vụ/ViewModel; Thủ công = kiểm tra bằng mắt/trình duyệt/công cụ ngoài.</t>
  </si>
  <si>
    <t>Lưu ý nhập Google Sheets</t>
  </si>
  <si>
    <t>File &gt; Import &gt; Upload &gt; chọn .xlsx &gt; 'Replace spreadsheet'. Dropdown Trạng thái và công thức ở sheet Tổng hợp được giữ nguyên.</t>
  </si>
  <si>
    <t>GIẢ ĐỊNH (đổi theo mã nguồn thực tế của nhóm)</t>
  </si>
  <si>
    <t>Tên route</t>
  </si>
  <si>
    <t>/TaiKhoan/Login, /TaiKhoan/Logout, /LoaiHang, /DonViTinh, /Kho, /HangHoa, /NhaCungCap, /BoPhanNhan, /PhieuNhap, /PhieuXuat, /TonKho, /ThongKe; action hoàn tất: /PhieuNhap/HoanTat/{id}, /PhieuXuat/HoanTat/{id}.</t>
  </si>
  <si>
    <t>Tham số danh sách</t>
  </si>
  <si>
    <t>search, maLoaiHang, maDonViTinh, maKho, trangThai, giaTu, giaDen, canhBao, sort, page (PageSize giả định = 10).</t>
  </si>
  <si>
    <t>Vai trò</t>
  </si>
  <si>
    <t>'Admin' và 'Nhân viên kho'. Theo đề bài: Admin duyệt/hoàn tất phiếu và xem thống kê; nhân viên kho lập phiếu. Nếu nhóm cho nhân viên hoàn tất phiếu, sửa kết quả mong đợi ở các TC phân quyền tương ứng.</t>
  </si>
  <si>
    <t>Trạng thái phiếu</t>
  </si>
  <si>
    <t>Nháp, Chờ xác nhận, Đã hoàn tất, Đã hủy.</t>
  </si>
  <si>
    <t>Phản hồi từ chối</t>
  </si>
  <si>
    <t>Tùy thiết kế: 403, redirect AccessDenied/Login, hoặc quay lại form kèm lỗi ModelState. Kết quả mong đợi ghi chung là 'bị từ chối'.</t>
  </si>
  <si>
    <t>Ghi chú đề bài</t>
  </si>
  <si>
    <t>Tiêu đề tài liệu ghi 'Quản lý cho thuê xe và đặt xe' nhưng nội dung là quản lý kho hàng nhập–xuất–tồn; bộ testcase bám theo NỘI DUNG (kho hàng).</t>
  </si>
  <si>
    <t>DỮ LIỆU TEST CHUẨN (fixture)</t>
  </si>
  <si>
    <t>Tài khoản</t>
  </si>
  <si>
    <t>admin / Admin@123 (Admin, hoạt động); nvkho / Kho@123 (Nhân viên kho, hoạt động); khoa / Khoa@123 (bị khóa).</t>
  </si>
  <si>
    <t>Kho</t>
  </si>
  <si>
    <t>K1 Kho Hà Nội (hoạt động); K2 Kho TP.HCM (hoạt động); K3 Kho Tạm (ngừng hoạt động).</t>
  </si>
  <si>
    <t>LH1 Điện tử (hoạt động); LH2 Văn phòng phẩm (hoạt động); LH3 Loại cũ (ngừng).</t>
  </si>
  <si>
    <t>Cái, Hộp, Kg (hoạt động).</t>
  </si>
  <si>
    <t>NCC1 Công ty ABC (hoạt động); NCC2 Công ty XYZ (ngừng).</t>
  </si>
  <si>
    <t>BP1 Phòng Kế toán (hoạt động); BP2 Phòng cũ (ngừng).</t>
  </si>
  <si>
    <t>Hàng hóa</t>
  </si>
  <si>
    <t>HH1 Chuột không dây: tồn K1=100, min 10, giá 150.000 | HH2 Bàn phím: tồn K1=10 (hoặc 5), min 10 | HH3 Màn hình: tồn 0 | HH4 Giấy A4: K1=50, K2=5 | HH5: ngừng hoạt động.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</si>
</sst>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%"/>
    <numFmt numFmtId="177" formatCode="dd/mm/yyyy"/>
  </numFmts>
  <fonts count="26">
    <font>
      <sz val="11"/>
      <color theme="1"/>
      <name val="Calibri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E4DFEC"/>
        <bgColor rgb="FFDD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9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177" fontId="2" fillId="4" borderId="1" xfId="0" applyNumberFormat="1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DDEBF7"/>
      <rgbColor rgb="00660066"/>
      <rgbColor rgb="00FF8080"/>
      <rgbColor rgb="000066CC"/>
      <rgbColor rgb="00E4DFE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A"/>
      <rgbColor rgb="00C6EFCE"/>
      <rgbColor rgb="00FFEB9C"/>
      <rgbColor rgb="00EDEDED"/>
      <rgbColor rgb="00FCE4D6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5"/>
  <sheetViews>
    <sheetView tabSelected="1" workbookViewId="0">
      <pane xSplit="2" ySplit="1" topLeftCell="C101" activePane="bottomRight" state="frozen"/>
      <selection/>
      <selection pane="topRight"/>
      <selection pane="bottomLeft"/>
      <selection pane="bottomRight" activeCell="A1" sqref="A1"/>
    </sheetView>
  </sheetViews>
  <sheetFormatPr defaultColWidth="8.67592592592593" defaultRowHeight="14.4"/>
  <cols>
    <col min="1" max="1" width="12" customWidth="1"/>
    <col min="2" max="2" width="24" customWidth="1"/>
    <col min="3" max="3" width="20" customWidth="1"/>
    <col min="4" max="4" width="12" customWidth="1"/>
    <col min="5" max="5" width="38" customWidth="1"/>
    <col min="6" max="6" width="28" customWidth="1"/>
    <col min="7" max="7" width="40" customWidth="1"/>
    <col min="8" max="8" width="30" customWidth="1"/>
    <col min="9" max="9" width="44" customWidth="1"/>
    <col min="10" max="10" width="11" customWidth="1"/>
    <col min="11" max="11" width="16" customWidth="1"/>
    <col min="12" max="12" width="28" customWidth="1"/>
    <col min="13" max="14" width="13" customWidth="1"/>
    <col min="15" max="15" width="12" customWidth="1"/>
    <col min="16" max="16" width="22" customWidth="1"/>
  </cols>
  <sheetData>
    <row r="1" ht="30" customHeight="1" spans="1:1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ht="39.6" spans="1:16">
      <c r="A2" s="15" t="s">
        <v>16</v>
      </c>
      <c r="B2" s="16" t="s">
        <v>17</v>
      </c>
      <c r="C2" s="17" t="s">
        <v>18</v>
      </c>
      <c r="D2" s="15" t="s">
        <v>19</v>
      </c>
      <c r="E2" s="17" t="s">
        <v>20</v>
      </c>
      <c r="F2" s="17" t="s">
        <v>21</v>
      </c>
      <c r="G2" s="17" t="s">
        <v>22</v>
      </c>
      <c r="H2" s="17" t="s">
        <v>23</v>
      </c>
      <c r="I2" s="17" t="s">
        <v>24</v>
      </c>
      <c r="J2" s="15" t="s">
        <v>25</v>
      </c>
      <c r="K2" s="15" t="s">
        <v>26</v>
      </c>
      <c r="L2" s="18"/>
      <c r="M2" s="19" t="s">
        <v>27</v>
      </c>
      <c r="N2" s="18"/>
      <c r="O2" s="20"/>
      <c r="P2" s="18"/>
    </row>
    <row r="3" ht="39.6" spans="1:16">
      <c r="A3" s="15" t="s">
        <v>28</v>
      </c>
      <c r="B3" s="16" t="s">
        <v>17</v>
      </c>
      <c r="C3" s="17" t="s">
        <v>18</v>
      </c>
      <c r="D3" s="15" t="s">
        <v>19</v>
      </c>
      <c r="E3" s="17" t="s">
        <v>29</v>
      </c>
      <c r="F3" s="17" t="s">
        <v>30</v>
      </c>
      <c r="G3" s="17" t="s">
        <v>31</v>
      </c>
      <c r="H3" s="17" t="s">
        <v>32</v>
      </c>
      <c r="I3" s="17" t="s">
        <v>33</v>
      </c>
      <c r="J3" s="15" t="s">
        <v>25</v>
      </c>
      <c r="K3" s="15" t="s">
        <v>26</v>
      </c>
      <c r="L3" s="18"/>
      <c r="M3" s="19" t="s">
        <v>27</v>
      </c>
      <c r="N3" s="18"/>
      <c r="O3" s="20"/>
      <c r="P3" s="18"/>
    </row>
    <row r="4" ht="26.4" spans="1:16">
      <c r="A4" s="15" t="s">
        <v>34</v>
      </c>
      <c r="B4" s="16" t="s">
        <v>17</v>
      </c>
      <c r="C4" s="17" t="s">
        <v>18</v>
      </c>
      <c r="D4" s="15" t="s">
        <v>35</v>
      </c>
      <c r="E4" s="17" t="s">
        <v>36</v>
      </c>
      <c r="F4" s="17" t="s">
        <v>37</v>
      </c>
      <c r="G4" s="17" t="s">
        <v>38</v>
      </c>
      <c r="H4" s="17" t="s">
        <v>39</v>
      </c>
      <c r="I4" s="17" t="s">
        <v>40</v>
      </c>
      <c r="J4" s="15" t="s">
        <v>41</v>
      </c>
      <c r="K4" s="15" t="s">
        <v>26</v>
      </c>
      <c r="L4" s="18"/>
      <c r="M4" s="19" t="s">
        <v>27</v>
      </c>
      <c r="N4" s="18"/>
      <c r="O4" s="20"/>
      <c r="P4" s="18"/>
    </row>
    <row r="5" ht="26.4" spans="1:16">
      <c r="A5" s="15" t="s">
        <v>42</v>
      </c>
      <c r="B5" s="16" t="s">
        <v>17</v>
      </c>
      <c r="C5" s="17" t="s">
        <v>18</v>
      </c>
      <c r="D5" s="15" t="s">
        <v>35</v>
      </c>
      <c r="E5" s="17" t="s">
        <v>43</v>
      </c>
      <c r="F5" s="17" t="s">
        <v>44</v>
      </c>
      <c r="G5" s="17" t="s">
        <v>45</v>
      </c>
      <c r="H5" s="17" t="s">
        <v>46</v>
      </c>
      <c r="I5" s="17" t="s">
        <v>47</v>
      </c>
      <c r="J5" s="15" t="s">
        <v>41</v>
      </c>
      <c r="K5" s="15" t="s">
        <v>26</v>
      </c>
      <c r="L5" s="18"/>
      <c r="M5" s="19" t="s">
        <v>27</v>
      </c>
      <c r="N5" s="18"/>
      <c r="O5" s="20"/>
      <c r="P5" s="18"/>
    </row>
    <row r="6" ht="39.6" spans="1:16">
      <c r="A6" s="15" t="s">
        <v>48</v>
      </c>
      <c r="B6" s="16" t="s">
        <v>17</v>
      </c>
      <c r="C6" s="17" t="s">
        <v>18</v>
      </c>
      <c r="D6" s="15" t="s">
        <v>35</v>
      </c>
      <c r="E6" s="17" t="s">
        <v>49</v>
      </c>
      <c r="F6" s="17" t="s">
        <v>50</v>
      </c>
      <c r="G6" s="17" t="s">
        <v>51</v>
      </c>
      <c r="H6" s="17" t="s">
        <v>52</v>
      </c>
      <c r="I6" s="17" t="s">
        <v>53</v>
      </c>
      <c r="J6" s="15" t="s">
        <v>41</v>
      </c>
      <c r="K6" s="15" t="s">
        <v>26</v>
      </c>
      <c r="L6" s="18"/>
      <c r="M6" s="19" t="s">
        <v>27</v>
      </c>
      <c r="N6" s="18"/>
      <c r="O6" s="20"/>
      <c r="P6" s="18"/>
    </row>
    <row r="7" ht="39.6" spans="1:16">
      <c r="A7" s="15" t="s">
        <v>54</v>
      </c>
      <c r="B7" s="16" t="s">
        <v>17</v>
      </c>
      <c r="C7" s="17" t="s">
        <v>18</v>
      </c>
      <c r="D7" s="15" t="s">
        <v>35</v>
      </c>
      <c r="E7" s="17" t="s">
        <v>55</v>
      </c>
      <c r="F7" s="17" t="s">
        <v>50</v>
      </c>
      <c r="G7" s="17" t="s">
        <v>56</v>
      </c>
      <c r="H7" s="17" t="s">
        <v>57</v>
      </c>
      <c r="I7" s="17" t="s">
        <v>58</v>
      </c>
      <c r="J7" s="15" t="s">
        <v>41</v>
      </c>
      <c r="K7" s="15" t="s">
        <v>26</v>
      </c>
      <c r="L7" s="18"/>
      <c r="M7" s="19" t="s">
        <v>27</v>
      </c>
      <c r="N7" s="18"/>
      <c r="O7" s="20"/>
      <c r="P7" s="18"/>
    </row>
    <row r="8" ht="26.4" spans="1:16">
      <c r="A8" s="15" t="s">
        <v>59</v>
      </c>
      <c r="B8" s="16" t="s">
        <v>17</v>
      </c>
      <c r="C8" s="17" t="s">
        <v>18</v>
      </c>
      <c r="D8" s="15" t="s">
        <v>35</v>
      </c>
      <c r="E8" s="17" t="s">
        <v>60</v>
      </c>
      <c r="F8" s="17" t="s">
        <v>61</v>
      </c>
      <c r="G8" s="17" t="s">
        <v>62</v>
      </c>
      <c r="H8" s="17" t="s">
        <v>63</v>
      </c>
      <c r="I8" s="17" t="s">
        <v>64</v>
      </c>
      <c r="J8" s="15" t="s">
        <v>41</v>
      </c>
      <c r="K8" s="15" t="s">
        <v>26</v>
      </c>
      <c r="L8" s="18"/>
      <c r="M8" s="19" t="s">
        <v>27</v>
      </c>
      <c r="N8" s="18"/>
      <c r="O8" s="20"/>
      <c r="P8" s="18"/>
    </row>
    <row r="9" ht="26.4" spans="1:16">
      <c r="A9" s="15" t="s">
        <v>65</v>
      </c>
      <c r="B9" s="16" t="s">
        <v>17</v>
      </c>
      <c r="C9" s="17" t="s">
        <v>18</v>
      </c>
      <c r="D9" s="15" t="s">
        <v>66</v>
      </c>
      <c r="E9" s="17" t="s">
        <v>67</v>
      </c>
      <c r="F9" s="17" t="s">
        <v>50</v>
      </c>
      <c r="G9" s="17" t="s">
        <v>68</v>
      </c>
      <c r="H9" s="17" t="s">
        <v>69</v>
      </c>
      <c r="I9" s="17" t="s">
        <v>70</v>
      </c>
      <c r="J9" s="15" t="s">
        <v>25</v>
      </c>
      <c r="K9" s="15" t="s">
        <v>26</v>
      </c>
      <c r="L9" s="18"/>
      <c r="M9" s="19" t="s">
        <v>27</v>
      </c>
      <c r="N9" s="18"/>
      <c r="O9" s="20"/>
      <c r="P9" s="18"/>
    </row>
    <row r="10" ht="39.6" spans="1:16">
      <c r="A10" s="15" t="s">
        <v>71</v>
      </c>
      <c r="B10" s="16" t="s">
        <v>17</v>
      </c>
      <c r="C10" s="17" t="s">
        <v>18</v>
      </c>
      <c r="D10" s="15" t="s">
        <v>72</v>
      </c>
      <c r="E10" s="17" t="s">
        <v>73</v>
      </c>
      <c r="F10" s="17" t="s">
        <v>37</v>
      </c>
      <c r="G10" s="17" t="s">
        <v>74</v>
      </c>
      <c r="H10" s="17" t="s">
        <v>75</v>
      </c>
      <c r="I10" s="17" t="s">
        <v>76</v>
      </c>
      <c r="J10" s="15" t="s">
        <v>41</v>
      </c>
      <c r="K10" s="15" t="s">
        <v>26</v>
      </c>
      <c r="L10" s="18"/>
      <c r="M10" s="19" t="s">
        <v>27</v>
      </c>
      <c r="N10" s="18"/>
      <c r="O10" s="20"/>
      <c r="P10" s="18"/>
    </row>
    <row r="11" ht="26.4" spans="1:16">
      <c r="A11" s="15" t="s">
        <v>77</v>
      </c>
      <c r="B11" s="16" t="s">
        <v>17</v>
      </c>
      <c r="C11" s="17" t="s">
        <v>78</v>
      </c>
      <c r="D11" s="15" t="s">
        <v>19</v>
      </c>
      <c r="E11" s="17" t="s">
        <v>79</v>
      </c>
      <c r="F11" s="17" t="s">
        <v>80</v>
      </c>
      <c r="G11" s="17" t="s">
        <v>81</v>
      </c>
      <c r="H11" s="17" t="s">
        <v>82</v>
      </c>
      <c r="I11" s="17" t="s">
        <v>83</v>
      </c>
      <c r="J11" s="15" t="s">
        <v>25</v>
      </c>
      <c r="K11" s="15" t="s">
        <v>26</v>
      </c>
      <c r="L11" s="18"/>
      <c r="M11" s="19" t="s">
        <v>27</v>
      </c>
      <c r="N11" s="18"/>
      <c r="O11" s="20"/>
      <c r="P11" s="18"/>
    </row>
    <row r="12" ht="26.4" spans="1:16">
      <c r="A12" s="15" t="s">
        <v>84</v>
      </c>
      <c r="B12" s="16" t="s">
        <v>17</v>
      </c>
      <c r="C12" s="17" t="s">
        <v>78</v>
      </c>
      <c r="D12" s="15" t="s">
        <v>66</v>
      </c>
      <c r="E12" s="17" t="s">
        <v>85</v>
      </c>
      <c r="F12" s="17" t="s">
        <v>86</v>
      </c>
      <c r="G12" s="17" t="s">
        <v>87</v>
      </c>
      <c r="H12" s="17" t="s">
        <v>82</v>
      </c>
      <c r="I12" s="17" t="s">
        <v>88</v>
      </c>
      <c r="J12" s="15" t="s">
        <v>25</v>
      </c>
      <c r="K12" s="15" t="s">
        <v>26</v>
      </c>
      <c r="L12" s="18"/>
      <c r="M12" s="19" t="s">
        <v>27</v>
      </c>
      <c r="N12" s="18"/>
      <c r="O12" s="20"/>
      <c r="P12" s="18"/>
    </row>
    <row r="13" ht="26.4" spans="1:16">
      <c r="A13" s="15" t="s">
        <v>89</v>
      </c>
      <c r="B13" s="16" t="s">
        <v>17</v>
      </c>
      <c r="C13" s="17" t="s">
        <v>18</v>
      </c>
      <c r="D13" s="15" t="s">
        <v>66</v>
      </c>
      <c r="E13" s="17" t="s">
        <v>90</v>
      </c>
      <c r="F13" s="17" t="s">
        <v>91</v>
      </c>
      <c r="G13" s="17" t="s">
        <v>92</v>
      </c>
      <c r="H13" s="17" t="s">
        <v>82</v>
      </c>
      <c r="I13" s="17" t="s">
        <v>93</v>
      </c>
      <c r="J13" s="15" t="s">
        <v>25</v>
      </c>
      <c r="K13" s="15" t="s">
        <v>26</v>
      </c>
      <c r="L13" s="18"/>
      <c r="M13" s="19" t="s">
        <v>27</v>
      </c>
      <c r="N13" s="18"/>
      <c r="O13" s="20"/>
      <c r="P13" s="18"/>
    </row>
    <row r="14" ht="26.4" spans="1:16">
      <c r="A14" s="15" t="s">
        <v>94</v>
      </c>
      <c r="B14" s="16" t="s">
        <v>17</v>
      </c>
      <c r="C14" s="17" t="s">
        <v>18</v>
      </c>
      <c r="D14" s="15" t="s">
        <v>66</v>
      </c>
      <c r="E14" s="17" t="s">
        <v>95</v>
      </c>
      <c r="F14" s="17" t="s">
        <v>96</v>
      </c>
      <c r="G14" s="17" t="s">
        <v>97</v>
      </c>
      <c r="H14" s="17" t="s">
        <v>82</v>
      </c>
      <c r="I14" s="17" t="s">
        <v>98</v>
      </c>
      <c r="J14" s="15" t="s">
        <v>41</v>
      </c>
      <c r="K14" s="15" t="s">
        <v>26</v>
      </c>
      <c r="L14" s="18"/>
      <c r="M14" s="19" t="s">
        <v>27</v>
      </c>
      <c r="N14" s="18"/>
      <c r="O14" s="20"/>
      <c r="P14" s="18"/>
    </row>
    <row r="15" ht="52.8" spans="1:16">
      <c r="A15" s="15" t="s">
        <v>99</v>
      </c>
      <c r="B15" s="16" t="s">
        <v>17</v>
      </c>
      <c r="C15" s="17" t="s">
        <v>100</v>
      </c>
      <c r="D15" s="15" t="s">
        <v>19</v>
      </c>
      <c r="E15" s="17" t="s">
        <v>101</v>
      </c>
      <c r="F15" s="17" t="s">
        <v>102</v>
      </c>
      <c r="G15" s="17" t="s">
        <v>103</v>
      </c>
      <c r="H15" s="17" t="s">
        <v>104</v>
      </c>
      <c r="I15" s="17" t="s">
        <v>105</v>
      </c>
      <c r="J15" s="15" t="s">
        <v>25</v>
      </c>
      <c r="K15" s="15" t="s">
        <v>26</v>
      </c>
      <c r="L15" s="18"/>
      <c r="M15" s="19" t="s">
        <v>27</v>
      </c>
      <c r="N15" s="18"/>
      <c r="O15" s="20"/>
      <c r="P15" s="18"/>
    </row>
    <row r="16" ht="26.4" spans="1:16">
      <c r="A16" s="15" t="s">
        <v>106</v>
      </c>
      <c r="B16" s="16" t="s">
        <v>17</v>
      </c>
      <c r="C16" s="17" t="s">
        <v>100</v>
      </c>
      <c r="D16" s="15" t="s">
        <v>35</v>
      </c>
      <c r="E16" s="17" t="s">
        <v>107</v>
      </c>
      <c r="F16" s="17" t="s">
        <v>102</v>
      </c>
      <c r="G16" s="17" t="s">
        <v>108</v>
      </c>
      <c r="H16" s="17" t="s">
        <v>109</v>
      </c>
      <c r="I16" s="17" t="s">
        <v>110</v>
      </c>
      <c r="J16" s="15" t="s">
        <v>41</v>
      </c>
      <c r="K16" s="15" t="s">
        <v>26</v>
      </c>
      <c r="L16" s="18"/>
      <c r="M16" s="19" t="s">
        <v>27</v>
      </c>
      <c r="N16" s="18"/>
      <c r="O16" s="20"/>
      <c r="P16" s="18"/>
    </row>
    <row r="17" ht="26.4" spans="1:16">
      <c r="A17" s="15" t="s">
        <v>111</v>
      </c>
      <c r="B17" s="16" t="s">
        <v>17</v>
      </c>
      <c r="C17" s="17" t="s">
        <v>100</v>
      </c>
      <c r="D17" s="15" t="s">
        <v>35</v>
      </c>
      <c r="E17" s="17" t="s">
        <v>112</v>
      </c>
      <c r="F17" s="17" t="s">
        <v>102</v>
      </c>
      <c r="G17" s="17" t="s">
        <v>113</v>
      </c>
      <c r="H17" s="17" t="s">
        <v>114</v>
      </c>
      <c r="I17" s="17" t="s">
        <v>115</v>
      </c>
      <c r="J17" s="15" t="s">
        <v>41</v>
      </c>
      <c r="K17" s="15" t="s">
        <v>26</v>
      </c>
      <c r="L17" s="18"/>
      <c r="M17" s="19" t="s">
        <v>27</v>
      </c>
      <c r="N17" s="18"/>
      <c r="O17" s="20"/>
      <c r="P17" s="18"/>
    </row>
    <row r="18" ht="26.4" spans="1:16">
      <c r="A18" s="15" t="s">
        <v>116</v>
      </c>
      <c r="B18" s="16" t="s">
        <v>17</v>
      </c>
      <c r="C18" s="17" t="s">
        <v>100</v>
      </c>
      <c r="D18" s="15" t="s">
        <v>35</v>
      </c>
      <c r="E18" s="17" t="s">
        <v>117</v>
      </c>
      <c r="F18" s="17" t="s">
        <v>102</v>
      </c>
      <c r="G18" s="17" t="s">
        <v>118</v>
      </c>
      <c r="H18" s="17" t="s">
        <v>119</v>
      </c>
      <c r="I18" s="17" t="s">
        <v>120</v>
      </c>
      <c r="J18" s="15" t="s">
        <v>41</v>
      </c>
      <c r="K18" s="15" t="s">
        <v>26</v>
      </c>
      <c r="L18" s="18"/>
      <c r="M18" s="19" t="s">
        <v>27</v>
      </c>
      <c r="N18" s="18"/>
      <c r="O18" s="20"/>
      <c r="P18" s="18"/>
    </row>
    <row r="19" ht="26.4" spans="1:16">
      <c r="A19" s="15" t="s">
        <v>121</v>
      </c>
      <c r="B19" s="16" t="s">
        <v>17</v>
      </c>
      <c r="C19" s="17" t="s">
        <v>100</v>
      </c>
      <c r="D19" s="15" t="s">
        <v>35</v>
      </c>
      <c r="E19" s="17" t="s">
        <v>122</v>
      </c>
      <c r="F19" s="17" t="s">
        <v>102</v>
      </c>
      <c r="G19" s="17" t="s">
        <v>123</v>
      </c>
      <c r="H19" s="17" t="s">
        <v>124</v>
      </c>
      <c r="I19" s="17" t="s">
        <v>125</v>
      </c>
      <c r="J19" s="15" t="s">
        <v>41</v>
      </c>
      <c r="K19" s="15" t="s">
        <v>26</v>
      </c>
      <c r="L19" s="18"/>
      <c r="M19" s="19" t="s">
        <v>27</v>
      </c>
      <c r="N19" s="18"/>
      <c r="O19" s="20"/>
      <c r="P19" s="18"/>
    </row>
    <row r="20" ht="26.4" spans="1:16">
      <c r="A20" s="15" t="s">
        <v>126</v>
      </c>
      <c r="B20" s="16" t="s">
        <v>17</v>
      </c>
      <c r="C20" s="17" t="s">
        <v>100</v>
      </c>
      <c r="D20" s="15" t="s">
        <v>19</v>
      </c>
      <c r="E20" s="17" t="s">
        <v>127</v>
      </c>
      <c r="F20" s="17" t="s">
        <v>102</v>
      </c>
      <c r="G20" s="17" t="s">
        <v>128</v>
      </c>
      <c r="H20" s="17" t="s">
        <v>129</v>
      </c>
      <c r="I20" s="17" t="s">
        <v>130</v>
      </c>
      <c r="J20" s="15" t="s">
        <v>25</v>
      </c>
      <c r="K20" s="15" t="s">
        <v>26</v>
      </c>
      <c r="L20" s="18"/>
      <c r="M20" s="19" t="s">
        <v>27</v>
      </c>
      <c r="N20" s="18"/>
      <c r="O20" s="20"/>
      <c r="P20" s="18"/>
    </row>
    <row r="21" ht="26.4" spans="1:16">
      <c r="A21" s="15" t="s">
        <v>131</v>
      </c>
      <c r="B21" s="16" t="s">
        <v>17</v>
      </c>
      <c r="C21" s="17" t="s">
        <v>132</v>
      </c>
      <c r="D21" s="15" t="s">
        <v>66</v>
      </c>
      <c r="E21" s="17" t="s">
        <v>133</v>
      </c>
      <c r="F21" s="17" t="s">
        <v>134</v>
      </c>
      <c r="G21" s="17" t="s">
        <v>135</v>
      </c>
      <c r="H21" s="17" t="s">
        <v>82</v>
      </c>
      <c r="I21" s="17" t="s">
        <v>136</v>
      </c>
      <c r="J21" s="15" t="s">
        <v>25</v>
      </c>
      <c r="K21" s="15" t="s">
        <v>26</v>
      </c>
      <c r="L21" s="18"/>
      <c r="M21" s="19" t="s">
        <v>27</v>
      </c>
      <c r="N21" s="18"/>
      <c r="O21" s="20"/>
      <c r="P21" s="18"/>
    </row>
    <row r="22" ht="26.4" spans="1:16">
      <c r="A22" s="15" t="s">
        <v>137</v>
      </c>
      <c r="B22" s="16" t="s">
        <v>17</v>
      </c>
      <c r="C22" s="17" t="s">
        <v>132</v>
      </c>
      <c r="D22" s="15" t="s">
        <v>66</v>
      </c>
      <c r="E22" s="17" t="s">
        <v>138</v>
      </c>
      <c r="F22" s="17" t="s">
        <v>134</v>
      </c>
      <c r="G22" s="17" t="s">
        <v>139</v>
      </c>
      <c r="H22" s="17" t="s">
        <v>140</v>
      </c>
      <c r="I22" s="17" t="s">
        <v>141</v>
      </c>
      <c r="J22" s="15" t="s">
        <v>25</v>
      </c>
      <c r="K22" s="15" t="s">
        <v>26</v>
      </c>
      <c r="L22" s="18"/>
      <c r="M22" s="19" t="s">
        <v>27</v>
      </c>
      <c r="N22" s="18"/>
      <c r="O22" s="20"/>
      <c r="P22" s="18"/>
    </row>
    <row r="23" ht="26.4" spans="1:16">
      <c r="A23" s="15" t="s">
        <v>142</v>
      </c>
      <c r="B23" s="16" t="s">
        <v>17</v>
      </c>
      <c r="C23" s="17" t="s">
        <v>132</v>
      </c>
      <c r="D23" s="15" t="s">
        <v>66</v>
      </c>
      <c r="E23" s="17" t="s">
        <v>143</v>
      </c>
      <c r="F23" s="17" t="s">
        <v>134</v>
      </c>
      <c r="G23" s="17" t="s">
        <v>144</v>
      </c>
      <c r="H23" s="17" t="s">
        <v>145</v>
      </c>
      <c r="I23" s="17" t="s">
        <v>146</v>
      </c>
      <c r="J23" s="15" t="s">
        <v>25</v>
      </c>
      <c r="K23" s="15" t="s">
        <v>26</v>
      </c>
      <c r="L23" s="18"/>
      <c r="M23" s="19" t="s">
        <v>27</v>
      </c>
      <c r="N23" s="18"/>
      <c r="O23" s="20"/>
      <c r="P23" s="18"/>
    </row>
    <row r="24" ht="26.4" spans="1:16">
      <c r="A24" s="15" t="s">
        <v>147</v>
      </c>
      <c r="B24" s="16" t="s">
        <v>17</v>
      </c>
      <c r="C24" s="17" t="s">
        <v>132</v>
      </c>
      <c r="D24" s="15" t="s">
        <v>19</v>
      </c>
      <c r="E24" s="17" t="s">
        <v>148</v>
      </c>
      <c r="F24" s="17" t="s">
        <v>102</v>
      </c>
      <c r="G24" s="17" t="s">
        <v>149</v>
      </c>
      <c r="H24" s="17" t="s">
        <v>82</v>
      </c>
      <c r="I24" s="17" t="s">
        <v>150</v>
      </c>
      <c r="J24" s="15" t="s">
        <v>25</v>
      </c>
      <c r="K24" s="15" t="s">
        <v>26</v>
      </c>
      <c r="L24" s="18"/>
      <c r="M24" s="19" t="s">
        <v>27</v>
      </c>
      <c r="N24" s="18"/>
      <c r="O24" s="20"/>
      <c r="P24" s="18"/>
    </row>
    <row r="25" ht="26.4" spans="1:16">
      <c r="A25" s="15" t="s">
        <v>151</v>
      </c>
      <c r="B25" s="16" t="s">
        <v>17</v>
      </c>
      <c r="C25" s="17" t="s">
        <v>132</v>
      </c>
      <c r="D25" s="15" t="s">
        <v>66</v>
      </c>
      <c r="E25" s="17" t="s">
        <v>152</v>
      </c>
      <c r="F25" s="17" t="s">
        <v>91</v>
      </c>
      <c r="G25" s="17" t="s">
        <v>153</v>
      </c>
      <c r="H25" s="17" t="s">
        <v>82</v>
      </c>
      <c r="I25" s="17" t="s">
        <v>154</v>
      </c>
      <c r="J25" s="15" t="s">
        <v>25</v>
      </c>
      <c r="K25" s="15" t="s">
        <v>26</v>
      </c>
      <c r="L25" s="18"/>
      <c r="M25" s="19" t="s">
        <v>27</v>
      </c>
      <c r="N25" s="18"/>
      <c r="O25" s="20"/>
      <c r="P25" s="18"/>
    </row>
    <row r="26" ht="26.4" spans="1:16">
      <c r="A26" s="15" t="s">
        <v>155</v>
      </c>
      <c r="B26" s="16" t="s">
        <v>17</v>
      </c>
      <c r="C26" s="17" t="s">
        <v>132</v>
      </c>
      <c r="D26" s="15" t="s">
        <v>66</v>
      </c>
      <c r="E26" s="17" t="s">
        <v>156</v>
      </c>
      <c r="F26" s="17" t="s">
        <v>134</v>
      </c>
      <c r="G26" s="17" t="s">
        <v>157</v>
      </c>
      <c r="H26" s="17" t="s">
        <v>82</v>
      </c>
      <c r="I26" s="17" t="s">
        <v>158</v>
      </c>
      <c r="J26" s="15" t="s">
        <v>41</v>
      </c>
      <c r="K26" s="15" t="s">
        <v>26</v>
      </c>
      <c r="L26" s="18"/>
      <c r="M26" s="19" t="s">
        <v>27</v>
      </c>
      <c r="N26" s="18"/>
      <c r="O26" s="20"/>
      <c r="P26" s="18"/>
    </row>
    <row r="27" ht="26.4" spans="1:16">
      <c r="A27" s="15" t="s">
        <v>159</v>
      </c>
      <c r="B27" s="16" t="s">
        <v>17</v>
      </c>
      <c r="C27" s="17" t="s">
        <v>132</v>
      </c>
      <c r="D27" s="15" t="s">
        <v>19</v>
      </c>
      <c r="E27" s="17" t="s">
        <v>160</v>
      </c>
      <c r="F27" s="17" t="s">
        <v>161</v>
      </c>
      <c r="G27" s="17" t="s">
        <v>162</v>
      </c>
      <c r="H27" s="17" t="s">
        <v>82</v>
      </c>
      <c r="I27" s="17" t="s">
        <v>163</v>
      </c>
      <c r="J27" s="15" t="s">
        <v>164</v>
      </c>
      <c r="K27" s="15" t="s">
        <v>165</v>
      </c>
      <c r="L27" s="18"/>
      <c r="M27" s="19" t="s">
        <v>27</v>
      </c>
      <c r="N27" s="18"/>
      <c r="O27" s="20"/>
      <c r="P27" s="18"/>
    </row>
    <row r="28" ht="39.6" spans="1:16">
      <c r="A28" s="15" t="s">
        <v>166</v>
      </c>
      <c r="B28" s="16" t="s">
        <v>17</v>
      </c>
      <c r="C28" s="17" t="s">
        <v>167</v>
      </c>
      <c r="D28" s="15" t="s">
        <v>19</v>
      </c>
      <c r="E28" s="17" t="s">
        <v>168</v>
      </c>
      <c r="F28" s="17" t="s">
        <v>102</v>
      </c>
      <c r="G28" s="17" t="s">
        <v>169</v>
      </c>
      <c r="H28" s="17" t="s">
        <v>170</v>
      </c>
      <c r="I28" s="17" t="s">
        <v>171</v>
      </c>
      <c r="J28" s="15" t="s">
        <v>25</v>
      </c>
      <c r="K28" s="15" t="s">
        <v>26</v>
      </c>
      <c r="L28" s="18"/>
      <c r="M28" s="19" t="s">
        <v>27</v>
      </c>
      <c r="N28" s="18"/>
      <c r="O28" s="20"/>
      <c r="P28" s="18"/>
    </row>
    <row r="29" ht="26.4" spans="1:16">
      <c r="A29" s="15" t="s">
        <v>172</v>
      </c>
      <c r="B29" s="16" t="s">
        <v>17</v>
      </c>
      <c r="C29" s="17" t="s">
        <v>167</v>
      </c>
      <c r="D29" s="15" t="s">
        <v>35</v>
      </c>
      <c r="E29" s="17" t="s">
        <v>173</v>
      </c>
      <c r="F29" s="17" t="s">
        <v>102</v>
      </c>
      <c r="G29" s="17" t="s">
        <v>174</v>
      </c>
      <c r="H29" s="17" t="s">
        <v>175</v>
      </c>
      <c r="I29" s="17" t="s">
        <v>176</v>
      </c>
      <c r="J29" s="15" t="s">
        <v>41</v>
      </c>
      <c r="K29" s="15" t="s">
        <v>26</v>
      </c>
      <c r="L29" s="18"/>
      <c r="M29" s="19" t="s">
        <v>27</v>
      </c>
      <c r="N29" s="18"/>
      <c r="O29" s="20"/>
      <c r="P29" s="18"/>
    </row>
    <row r="30" ht="26.4" spans="1:16">
      <c r="A30" s="15" t="s">
        <v>177</v>
      </c>
      <c r="B30" s="16" t="s">
        <v>17</v>
      </c>
      <c r="C30" s="17" t="s">
        <v>167</v>
      </c>
      <c r="D30" s="15" t="s">
        <v>35</v>
      </c>
      <c r="E30" s="17" t="s">
        <v>178</v>
      </c>
      <c r="F30" s="17" t="s">
        <v>102</v>
      </c>
      <c r="G30" s="17" t="s">
        <v>179</v>
      </c>
      <c r="H30" s="17" t="s">
        <v>170</v>
      </c>
      <c r="I30" s="17" t="s">
        <v>180</v>
      </c>
      <c r="J30" s="15" t="s">
        <v>41</v>
      </c>
      <c r="K30" s="15" t="s">
        <v>26</v>
      </c>
      <c r="L30" s="18"/>
      <c r="M30" s="19" t="s">
        <v>27</v>
      </c>
      <c r="N30" s="18"/>
      <c r="O30" s="20"/>
      <c r="P30" s="18"/>
    </row>
    <row r="31" ht="39.6" spans="1:16">
      <c r="A31" s="15" t="s">
        <v>181</v>
      </c>
      <c r="B31" s="16" t="s">
        <v>17</v>
      </c>
      <c r="C31" s="17" t="s">
        <v>167</v>
      </c>
      <c r="D31" s="15" t="s">
        <v>19</v>
      </c>
      <c r="E31" s="17" t="s">
        <v>182</v>
      </c>
      <c r="F31" s="17" t="s">
        <v>102</v>
      </c>
      <c r="G31" s="17" t="s">
        <v>183</v>
      </c>
      <c r="H31" s="17" t="s">
        <v>184</v>
      </c>
      <c r="I31" s="17" t="s">
        <v>185</v>
      </c>
      <c r="J31" s="15" t="s">
        <v>41</v>
      </c>
      <c r="K31" s="15" t="s">
        <v>26</v>
      </c>
      <c r="L31" s="18"/>
      <c r="M31" s="19" t="s">
        <v>27</v>
      </c>
      <c r="N31" s="18"/>
      <c r="O31" s="20"/>
      <c r="P31" s="18"/>
    </row>
    <row r="32" ht="26.4" spans="1:16">
      <c r="A32" s="15" t="s">
        <v>186</v>
      </c>
      <c r="B32" s="16" t="s">
        <v>17</v>
      </c>
      <c r="C32" s="17" t="s">
        <v>167</v>
      </c>
      <c r="D32" s="15" t="s">
        <v>187</v>
      </c>
      <c r="E32" s="17" t="s">
        <v>188</v>
      </c>
      <c r="F32" s="17" t="s">
        <v>102</v>
      </c>
      <c r="G32" s="17" t="s">
        <v>189</v>
      </c>
      <c r="H32" s="17" t="s">
        <v>190</v>
      </c>
      <c r="I32" s="17" t="s">
        <v>191</v>
      </c>
      <c r="J32" s="15" t="s">
        <v>25</v>
      </c>
      <c r="K32" s="15" t="s">
        <v>26</v>
      </c>
      <c r="L32" s="18"/>
      <c r="M32" s="19" t="s">
        <v>27</v>
      </c>
      <c r="N32" s="18"/>
      <c r="O32" s="20"/>
      <c r="P32" s="18"/>
    </row>
    <row r="33" ht="26.4" spans="1:16">
      <c r="A33" s="15" t="s">
        <v>192</v>
      </c>
      <c r="B33" s="16" t="s">
        <v>17</v>
      </c>
      <c r="C33" s="17" t="s">
        <v>167</v>
      </c>
      <c r="D33" s="15" t="s">
        <v>66</v>
      </c>
      <c r="E33" s="17" t="s">
        <v>193</v>
      </c>
      <c r="F33" s="17" t="s">
        <v>102</v>
      </c>
      <c r="G33" s="17" t="s">
        <v>194</v>
      </c>
      <c r="H33" s="17" t="s">
        <v>195</v>
      </c>
      <c r="I33" s="17" t="s">
        <v>196</v>
      </c>
      <c r="J33" s="15" t="s">
        <v>25</v>
      </c>
      <c r="K33" s="15" t="s">
        <v>26</v>
      </c>
      <c r="L33" s="18"/>
      <c r="M33" s="19" t="s">
        <v>27</v>
      </c>
      <c r="N33" s="18"/>
      <c r="O33" s="20"/>
      <c r="P33" s="18"/>
    </row>
    <row r="34" ht="26.4" spans="1:16">
      <c r="A34" s="15" t="s">
        <v>197</v>
      </c>
      <c r="B34" s="16" t="s">
        <v>17</v>
      </c>
      <c r="C34" s="17" t="s">
        <v>167</v>
      </c>
      <c r="D34" s="15" t="s">
        <v>187</v>
      </c>
      <c r="E34" s="17" t="s">
        <v>198</v>
      </c>
      <c r="F34" s="17" t="s">
        <v>102</v>
      </c>
      <c r="G34" s="17" t="s">
        <v>199</v>
      </c>
      <c r="H34" s="17" t="s">
        <v>200</v>
      </c>
      <c r="I34" s="17" t="s">
        <v>201</v>
      </c>
      <c r="J34" s="15" t="s">
        <v>25</v>
      </c>
      <c r="K34" s="15" t="s">
        <v>26</v>
      </c>
      <c r="L34" s="18"/>
      <c r="M34" s="19" t="s">
        <v>27</v>
      </c>
      <c r="N34" s="18"/>
      <c r="O34" s="20"/>
      <c r="P34" s="18"/>
    </row>
    <row r="35" ht="39.6" spans="1:16">
      <c r="A35" s="15" t="s">
        <v>202</v>
      </c>
      <c r="B35" s="16" t="s">
        <v>17</v>
      </c>
      <c r="C35" s="17" t="s">
        <v>203</v>
      </c>
      <c r="D35" s="15" t="s">
        <v>19</v>
      </c>
      <c r="E35" s="17" t="s">
        <v>204</v>
      </c>
      <c r="F35" s="17" t="s">
        <v>102</v>
      </c>
      <c r="G35" s="17" t="s">
        <v>205</v>
      </c>
      <c r="H35" s="17" t="s">
        <v>206</v>
      </c>
      <c r="I35" s="17" t="s">
        <v>207</v>
      </c>
      <c r="J35" s="15" t="s">
        <v>25</v>
      </c>
      <c r="K35" s="15" t="s">
        <v>26</v>
      </c>
      <c r="L35" s="18"/>
      <c r="M35" s="19" t="s">
        <v>27</v>
      </c>
      <c r="N35" s="18"/>
      <c r="O35" s="20"/>
      <c r="P35" s="18"/>
    </row>
    <row r="36" ht="26.4" spans="1:16">
      <c r="A36" s="15" t="s">
        <v>208</v>
      </c>
      <c r="B36" s="16" t="s">
        <v>17</v>
      </c>
      <c r="C36" s="17" t="s">
        <v>203</v>
      </c>
      <c r="D36" s="15" t="s">
        <v>35</v>
      </c>
      <c r="E36" s="17" t="s">
        <v>209</v>
      </c>
      <c r="F36" s="17" t="s">
        <v>102</v>
      </c>
      <c r="G36" s="17" t="s">
        <v>174</v>
      </c>
      <c r="H36" s="17" t="s">
        <v>210</v>
      </c>
      <c r="I36" s="17" t="s">
        <v>211</v>
      </c>
      <c r="J36" s="15" t="s">
        <v>41</v>
      </c>
      <c r="K36" s="15" t="s">
        <v>26</v>
      </c>
      <c r="L36" s="18"/>
      <c r="M36" s="19" t="s">
        <v>27</v>
      </c>
      <c r="N36" s="18"/>
      <c r="O36" s="20"/>
      <c r="P36" s="18"/>
    </row>
    <row r="37" ht="26.4" spans="1:16">
      <c r="A37" s="15" t="s">
        <v>212</v>
      </c>
      <c r="B37" s="16" t="s">
        <v>17</v>
      </c>
      <c r="C37" s="17" t="s">
        <v>203</v>
      </c>
      <c r="D37" s="15" t="s">
        <v>35</v>
      </c>
      <c r="E37" s="17" t="s">
        <v>213</v>
      </c>
      <c r="F37" s="17" t="s">
        <v>102</v>
      </c>
      <c r="G37" s="17" t="s">
        <v>214</v>
      </c>
      <c r="H37" s="17" t="s">
        <v>206</v>
      </c>
      <c r="I37" s="17" t="s">
        <v>215</v>
      </c>
      <c r="J37" s="15" t="s">
        <v>41</v>
      </c>
      <c r="K37" s="15" t="s">
        <v>26</v>
      </c>
      <c r="L37" s="18"/>
      <c r="M37" s="19" t="s">
        <v>27</v>
      </c>
      <c r="N37" s="18"/>
      <c r="O37" s="20"/>
      <c r="P37" s="18"/>
    </row>
    <row r="38" ht="26.4" spans="1:16">
      <c r="A38" s="15" t="s">
        <v>216</v>
      </c>
      <c r="B38" s="16" t="s">
        <v>17</v>
      </c>
      <c r="C38" s="17" t="s">
        <v>203</v>
      </c>
      <c r="D38" s="15" t="s">
        <v>19</v>
      </c>
      <c r="E38" s="17" t="s">
        <v>217</v>
      </c>
      <c r="F38" s="17" t="s">
        <v>102</v>
      </c>
      <c r="G38" s="17" t="s">
        <v>218</v>
      </c>
      <c r="H38" s="17" t="s">
        <v>219</v>
      </c>
      <c r="I38" s="17" t="s">
        <v>185</v>
      </c>
      <c r="J38" s="15" t="s">
        <v>41</v>
      </c>
      <c r="K38" s="15" t="s">
        <v>26</v>
      </c>
      <c r="L38" s="18"/>
      <c r="M38" s="19" t="s">
        <v>27</v>
      </c>
      <c r="N38" s="18"/>
      <c r="O38" s="20"/>
      <c r="P38" s="18"/>
    </row>
    <row r="39" ht="26.4" spans="1:16">
      <c r="A39" s="15" t="s">
        <v>220</v>
      </c>
      <c r="B39" s="16" t="s">
        <v>17</v>
      </c>
      <c r="C39" s="17" t="s">
        <v>203</v>
      </c>
      <c r="D39" s="15" t="s">
        <v>187</v>
      </c>
      <c r="E39" s="17" t="s">
        <v>221</v>
      </c>
      <c r="F39" s="17" t="s">
        <v>102</v>
      </c>
      <c r="G39" s="17" t="s">
        <v>222</v>
      </c>
      <c r="H39" s="17" t="s">
        <v>223</v>
      </c>
      <c r="I39" s="17" t="s">
        <v>224</v>
      </c>
      <c r="J39" s="15" t="s">
        <v>41</v>
      </c>
      <c r="K39" s="15" t="s">
        <v>26</v>
      </c>
      <c r="L39" s="18"/>
      <c r="M39" s="19" t="s">
        <v>27</v>
      </c>
      <c r="N39" s="18"/>
      <c r="O39" s="20"/>
      <c r="P39" s="18"/>
    </row>
    <row r="40" ht="39.6" spans="1:16">
      <c r="A40" s="15" t="s">
        <v>225</v>
      </c>
      <c r="B40" s="21" t="s">
        <v>226</v>
      </c>
      <c r="C40" s="17" t="s">
        <v>227</v>
      </c>
      <c r="D40" s="15" t="s">
        <v>19</v>
      </c>
      <c r="E40" s="17" t="s">
        <v>228</v>
      </c>
      <c r="F40" s="17" t="s">
        <v>102</v>
      </c>
      <c r="G40" s="17" t="s">
        <v>229</v>
      </c>
      <c r="H40" s="17" t="s">
        <v>230</v>
      </c>
      <c r="I40" s="17" t="s">
        <v>231</v>
      </c>
      <c r="J40" s="15" t="s">
        <v>25</v>
      </c>
      <c r="K40" s="15" t="s">
        <v>26</v>
      </c>
      <c r="L40" s="18"/>
      <c r="M40" s="19" t="s">
        <v>27</v>
      </c>
      <c r="N40" s="18"/>
      <c r="O40" s="20"/>
      <c r="P40" s="18"/>
    </row>
    <row r="41" ht="26.4" spans="1:16">
      <c r="A41" s="15" t="s">
        <v>232</v>
      </c>
      <c r="B41" s="21" t="s">
        <v>226</v>
      </c>
      <c r="C41" s="17" t="s">
        <v>227</v>
      </c>
      <c r="D41" s="15" t="s">
        <v>35</v>
      </c>
      <c r="E41" s="17" t="s">
        <v>233</v>
      </c>
      <c r="F41" s="17" t="s">
        <v>102</v>
      </c>
      <c r="G41" s="17" t="s">
        <v>234</v>
      </c>
      <c r="H41" s="17" t="s">
        <v>235</v>
      </c>
      <c r="I41" s="17" t="s">
        <v>236</v>
      </c>
      <c r="J41" s="15" t="s">
        <v>41</v>
      </c>
      <c r="K41" s="15" t="s">
        <v>26</v>
      </c>
      <c r="L41" s="18"/>
      <c r="M41" s="19" t="s">
        <v>27</v>
      </c>
      <c r="N41" s="18"/>
      <c r="O41" s="20"/>
      <c r="P41" s="18"/>
    </row>
    <row r="42" ht="26.4" spans="1:16">
      <c r="A42" s="15" t="s">
        <v>237</v>
      </c>
      <c r="B42" s="21" t="s">
        <v>226</v>
      </c>
      <c r="C42" s="17" t="s">
        <v>227</v>
      </c>
      <c r="D42" s="15" t="s">
        <v>72</v>
      </c>
      <c r="E42" s="17" t="s">
        <v>238</v>
      </c>
      <c r="F42" s="17" t="s">
        <v>102</v>
      </c>
      <c r="G42" s="17" t="s">
        <v>239</v>
      </c>
      <c r="H42" s="17" t="s">
        <v>240</v>
      </c>
      <c r="I42" s="17" t="s">
        <v>241</v>
      </c>
      <c r="J42" s="15" t="s">
        <v>41</v>
      </c>
      <c r="K42" s="15" t="s">
        <v>26</v>
      </c>
      <c r="L42" s="18"/>
      <c r="M42" s="19" t="s">
        <v>27</v>
      </c>
      <c r="N42" s="18"/>
      <c r="O42" s="20"/>
      <c r="P42" s="18"/>
    </row>
    <row r="43" ht="39.6" spans="1:16">
      <c r="A43" s="15" t="s">
        <v>242</v>
      </c>
      <c r="B43" s="21" t="s">
        <v>226</v>
      </c>
      <c r="C43" s="17" t="s">
        <v>227</v>
      </c>
      <c r="D43" s="15" t="s">
        <v>19</v>
      </c>
      <c r="E43" s="17" t="s">
        <v>243</v>
      </c>
      <c r="F43" s="17" t="s">
        <v>102</v>
      </c>
      <c r="G43" s="17" t="s">
        <v>244</v>
      </c>
      <c r="H43" s="17" t="s">
        <v>245</v>
      </c>
      <c r="I43" s="17" t="s">
        <v>185</v>
      </c>
      <c r="J43" s="15" t="s">
        <v>41</v>
      </c>
      <c r="K43" s="15" t="s">
        <v>26</v>
      </c>
      <c r="L43" s="18"/>
      <c r="M43" s="19" t="s">
        <v>27</v>
      </c>
      <c r="N43" s="18"/>
      <c r="O43" s="20"/>
      <c r="P43" s="18"/>
    </row>
    <row r="44" spans="1:16">
      <c r="A44" s="15" t="s">
        <v>246</v>
      </c>
      <c r="B44" s="21" t="s">
        <v>226</v>
      </c>
      <c r="C44" s="17" t="s">
        <v>227</v>
      </c>
      <c r="D44" s="15" t="s">
        <v>19</v>
      </c>
      <c r="E44" s="17" t="s">
        <v>247</v>
      </c>
      <c r="F44" s="17" t="s">
        <v>102</v>
      </c>
      <c r="G44" s="17" t="s">
        <v>248</v>
      </c>
      <c r="H44" s="17" t="s">
        <v>249</v>
      </c>
      <c r="I44" s="17" t="s">
        <v>250</v>
      </c>
      <c r="J44" s="15" t="s">
        <v>164</v>
      </c>
      <c r="K44" s="15" t="s">
        <v>26</v>
      </c>
      <c r="L44" s="18"/>
      <c r="M44" s="19" t="s">
        <v>27</v>
      </c>
      <c r="N44" s="18"/>
      <c r="O44" s="20"/>
      <c r="P44" s="18"/>
    </row>
    <row r="45" ht="26.4" spans="1:16">
      <c r="A45" s="15" t="s">
        <v>251</v>
      </c>
      <c r="B45" s="21" t="s">
        <v>226</v>
      </c>
      <c r="C45" s="17" t="s">
        <v>227</v>
      </c>
      <c r="D45" s="15" t="s">
        <v>187</v>
      </c>
      <c r="E45" s="17" t="s">
        <v>252</v>
      </c>
      <c r="F45" s="17" t="s">
        <v>102</v>
      </c>
      <c r="G45" s="17" t="s">
        <v>253</v>
      </c>
      <c r="H45" s="17" t="s">
        <v>254</v>
      </c>
      <c r="I45" s="17" t="s">
        <v>255</v>
      </c>
      <c r="J45" s="15" t="s">
        <v>25</v>
      </c>
      <c r="K45" s="15" t="s">
        <v>26</v>
      </c>
      <c r="L45" s="18"/>
      <c r="M45" s="19" t="s">
        <v>27</v>
      </c>
      <c r="N45" s="18"/>
      <c r="O45" s="20"/>
      <c r="P45" s="18"/>
    </row>
    <row r="46" ht="26.4" spans="1:16">
      <c r="A46" s="15" t="s">
        <v>256</v>
      </c>
      <c r="B46" s="21" t="s">
        <v>226</v>
      </c>
      <c r="C46" s="17" t="s">
        <v>227</v>
      </c>
      <c r="D46" s="15" t="s">
        <v>66</v>
      </c>
      <c r="E46" s="17" t="s">
        <v>257</v>
      </c>
      <c r="F46" s="17" t="s">
        <v>102</v>
      </c>
      <c r="G46" s="17" t="s">
        <v>258</v>
      </c>
      <c r="H46" s="17" t="s">
        <v>259</v>
      </c>
      <c r="I46" s="17" t="s">
        <v>260</v>
      </c>
      <c r="J46" s="15" t="s">
        <v>25</v>
      </c>
      <c r="K46" s="15" t="s">
        <v>26</v>
      </c>
      <c r="L46" s="18"/>
      <c r="M46" s="19" t="s">
        <v>27</v>
      </c>
      <c r="N46" s="18"/>
      <c r="O46" s="20"/>
      <c r="P46" s="18"/>
    </row>
    <row r="47" ht="26.4" spans="1:16">
      <c r="A47" s="15" t="s">
        <v>261</v>
      </c>
      <c r="B47" s="21" t="s">
        <v>226</v>
      </c>
      <c r="C47" s="17" t="s">
        <v>227</v>
      </c>
      <c r="D47" s="15" t="s">
        <v>187</v>
      </c>
      <c r="E47" s="17" t="s">
        <v>262</v>
      </c>
      <c r="F47" s="17" t="s">
        <v>102</v>
      </c>
      <c r="G47" s="17" t="s">
        <v>263</v>
      </c>
      <c r="H47" s="17" t="s">
        <v>249</v>
      </c>
      <c r="I47" s="17" t="s">
        <v>264</v>
      </c>
      <c r="J47" s="15" t="s">
        <v>25</v>
      </c>
      <c r="K47" s="15" t="s">
        <v>26</v>
      </c>
      <c r="L47" s="18"/>
      <c r="M47" s="19" t="s">
        <v>27</v>
      </c>
      <c r="N47" s="18"/>
      <c r="O47" s="20"/>
      <c r="P47" s="18"/>
    </row>
    <row r="48" ht="39.6" spans="1:16">
      <c r="A48" s="15" t="s">
        <v>265</v>
      </c>
      <c r="B48" s="21" t="s">
        <v>226</v>
      </c>
      <c r="C48" s="17" t="s">
        <v>266</v>
      </c>
      <c r="D48" s="15" t="s">
        <v>19</v>
      </c>
      <c r="E48" s="17" t="s">
        <v>267</v>
      </c>
      <c r="F48" s="17" t="s">
        <v>102</v>
      </c>
      <c r="G48" s="17" t="s">
        <v>268</v>
      </c>
      <c r="H48" s="17" t="s">
        <v>269</v>
      </c>
      <c r="I48" s="17" t="s">
        <v>270</v>
      </c>
      <c r="J48" s="15" t="s">
        <v>25</v>
      </c>
      <c r="K48" s="15" t="s">
        <v>26</v>
      </c>
      <c r="L48" s="18"/>
      <c r="M48" s="19" t="s">
        <v>27</v>
      </c>
      <c r="N48" s="18"/>
      <c r="O48" s="20"/>
      <c r="P48" s="18"/>
    </row>
    <row r="49" ht="26.4" spans="1:16">
      <c r="A49" s="15" t="s">
        <v>271</v>
      </c>
      <c r="B49" s="21" t="s">
        <v>226</v>
      </c>
      <c r="C49" s="17" t="s">
        <v>266</v>
      </c>
      <c r="D49" s="15" t="s">
        <v>35</v>
      </c>
      <c r="E49" s="17" t="s">
        <v>272</v>
      </c>
      <c r="F49" s="17" t="s">
        <v>102</v>
      </c>
      <c r="G49" s="17" t="s">
        <v>273</v>
      </c>
      <c r="H49" s="17" t="s">
        <v>274</v>
      </c>
      <c r="I49" s="17" t="s">
        <v>275</v>
      </c>
      <c r="J49" s="15" t="s">
        <v>41</v>
      </c>
      <c r="K49" s="15" t="s">
        <v>26</v>
      </c>
      <c r="L49" s="18"/>
      <c r="M49" s="19" t="s">
        <v>27</v>
      </c>
      <c r="N49" s="18"/>
      <c r="O49" s="20"/>
      <c r="P49" s="18"/>
    </row>
    <row r="50" ht="26.4" spans="1:16">
      <c r="A50" s="15" t="s">
        <v>276</v>
      </c>
      <c r="B50" s="21" t="s">
        <v>226</v>
      </c>
      <c r="C50" s="17" t="s">
        <v>266</v>
      </c>
      <c r="D50" s="15" t="s">
        <v>35</v>
      </c>
      <c r="E50" s="17" t="s">
        <v>277</v>
      </c>
      <c r="F50" s="17" t="s">
        <v>102</v>
      </c>
      <c r="G50" s="17" t="s">
        <v>278</v>
      </c>
      <c r="H50" s="17" t="s">
        <v>279</v>
      </c>
      <c r="I50" s="17" t="s">
        <v>280</v>
      </c>
      <c r="J50" s="15" t="s">
        <v>41</v>
      </c>
      <c r="K50" s="15" t="s">
        <v>26</v>
      </c>
      <c r="L50" s="18"/>
      <c r="M50" s="19" t="s">
        <v>27</v>
      </c>
      <c r="N50" s="18"/>
      <c r="O50" s="20"/>
      <c r="P50" s="18"/>
    </row>
    <row r="51" ht="26.4" spans="1:16">
      <c r="A51" s="15" t="s">
        <v>281</v>
      </c>
      <c r="B51" s="21" t="s">
        <v>226</v>
      </c>
      <c r="C51" s="17" t="s">
        <v>266</v>
      </c>
      <c r="D51" s="15" t="s">
        <v>72</v>
      </c>
      <c r="E51" s="17" t="s">
        <v>282</v>
      </c>
      <c r="F51" s="17" t="s">
        <v>102</v>
      </c>
      <c r="G51" s="17" t="s">
        <v>283</v>
      </c>
      <c r="H51" s="17" t="s">
        <v>284</v>
      </c>
      <c r="I51" s="17" t="s">
        <v>285</v>
      </c>
      <c r="J51" s="15" t="s">
        <v>41</v>
      </c>
      <c r="K51" s="15" t="s">
        <v>26</v>
      </c>
      <c r="L51" s="18"/>
      <c r="M51" s="19" t="s">
        <v>27</v>
      </c>
      <c r="N51" s="18"/>
      <c r="O51" s="20"/>
      <c r="P51" s="18"/>
    </row>
    <row r="52" ht="26.4" spans="1:16">
      <c r="A52" s="15" t="s">
        <v>286</v>
      </c>
      <c r="B52" s="21" t="s">
        <v>226</v>
      </c>
      <c r="C52" s="17" t="s">
        <v>266</v>
      </c>
      <c r="D52" s="15" t="s">
        <v>35</v>
      </c>
      <c r="E52" s="17" t="s">
        <v>287</v>
      </c>
      <c r="F52" s="17" t="s">
        <v>102</v>
      </c>
      <c r="G52" s="17" t="s">
        <v>288</v>
      </c>
      <c r="H52" s="17" t="s">
        <v>289</v>
      </c>
      <c r="I52" s="17" t="s">
        <v>290</v>
      </c>
      <c r="J52" s="15" t="s">
        <v>41</v>
      </c>
      <c r="K52" s="15" t="s">
        <v>26</v>
      </c>
      <c r="L52" s="18"/>
      <c r="M52" s="19" t="s">
        <v>27</v>
      </c>
      <c r="N52" s="18"/>
      <c r="O52" s="20"/>
      <c r="P52" s="18"/>
    </row>
    <row r="53" ht="26.4" spans="1:16">
      <c r="A53" s="15" t="s">
        <v>291</v>
      </c>
      <c r="B53" s="21" t="s">
        <v>226</v>
      </c>
      <c r="C53" s="17" t="s">
        <v>266</v>
      </c>
      <c r="D53" s="15" t="s">
        <v>72</v>
      </c>
      <c r="E53" s="17" t="s">
        <v>292</v>
      </c>
      <c r="F53" s="17" t="s">
        <v>102</v>
      </c>
      <c r="G53" s="17" t="s">
        <v>293</v>
      </c>
      <c r="H53" s="17" t="s">
        <v>294</v>
      </c>
      <c r="I53" s="17" t="s">
        <v>295</v>
      </c>
      <c r="J53" s="15" t="s">
        <v>41</v>
      </c>
      <c r="K53" s="15" t="s">
        <v>26</v>
      </c>
      <c r="L53" s="18"/>
      <c r="M53" s="19" t="s">
        <v>27</v>
      </c>
      <c r="N53" s="18"/>
      <c r="O53" s="20"/>
      <c r="P53" s="18"/>
    </row>
    <row r="54" ht="26.4" spans="1:16">
      <c r="A54" s="15" t="s">
        <v>296</v>
      </c>
      <c r="B54" s="21" t="s">
        <v>226</v>
      </c>
      <c r="C54" s="17" t="s">
        <v>266</v>
      </c>
      <c r="D54" s="15" t="s">
        <v>35</v>
      </c>
      <c r="E54" s="17" t="s">
        <v>297</v>
      </c>
      <c r="F54" s="17" t="s">
        <v>102</v>
      </c>
      <c r="G54" s="17" t="s">
        <v>298</v>
      </c>
      <c r="H54" s="17" t="s">
        <v>299</v>
      </c>
      <c r="I54" s="17" t="s">
        <v>300</v>
      </c>
      <c r="J54" s="15" t="s">
        <v>41</v>
      </c>
      <c r="K54" s="15" t="s">
        <v>26</v>
      </c>
      <c r="L54" s="18"/>
      <c r="M54" s="19" t="s">
        <v>27</v>
      </c>
      <c r="N54" s="18"/>
      <c r="O54" s="20"/>
      <c r="P54" s="18"/>
    </row>
    <row r="55" ht="26.4" spans="1:16">
      <c r="A55" s="15" t="s">
        <v>301</v>
      </c>
      <c r="B55" s="21" t="s">
        <v>226</v>
      </c>
      <c r="C55" s="17" t="s">
        <v>266</v>
      </c>
      <c r="D55" s="15" t="s">
        <v>35</v>
      </c>
      <c r="E55" s="17" t="s">
        <v>302</v>
      </c>
      <c r="F55" s="17" t="s">
        <v>102</v>
      </c>
      <c r="G55" s="17" t="s">
        <v>303</v>
      </c>
      <c r="H55" s="17" t="s">
        <v>304</v>
      </c>
      <c r="I55" s="17" t="s">
        <v>305</v>
      </c>
      <c r="J55" s="15" t="s">
        <v>41</v>
      </c>
      <c r="K55" s="15" t="s">
        <v>26</v>
      </c>
      <c r="L55" s="18"/>
      <c r="M55" s="19" t="s">
        <v>27</v>
      </c>
      <c r="N55" s="18"/>
      <c r="O55" s="20"/>
      <c r="P55" s="18"/>
    </row>
    <row r="56" ht="39.6" spans="1:16">
      <c r="A56" s="15" t="s">
        <v>306</v>
      </c>
      <c r="B56" s="21" t="s">
        <v>226</v>
      </c>
      <c r="C56" s="17" t="s">
        <v>266</v>
      </c>
      <c r="D56" s="15" t="s">
        <v>19</v>
      </c>
      <c r="E56" s="17" t="s">
        <v>307</v>
      </c>
      <c r="F56" s="17" t="s">
        <v>102</v>
      </c>
      <c r="G56" s="17" t="s">
        <v>308</v>
      </c>
      <c r="H56" s="17" t="s">
        <v>309</v>
      </c>
      <c r="I56" s="17" t="s">
        <v>310</v>
      </c>
      <c r="J56" s="15" t="s">
        <v>41</v>
      </c>
      <c r="K56" s="15" t="s">
        <v>26</v>
      </c>
      <c r="L56" s="18"/>
      <c r="M56" s="19" t="s">
        <v>27</v>
      </c>
      <c r="N56" s="18"/>
      <c r="O56" s="20"/>
      <c r="P56" s="18"/>
    </row>
    <row r="57" ht="26.4" spans="1:16">
      <c r="A57" s="15" t="s">
        <v>311</v>
      </c>
      <c r="B57" s="21" t="s">
        <v>226</v>
      </c>
      <c r="C57" s="17" t="s">
        <v>266</v>
      </c>
      <c r="D57" s="15" t="s">
        <v>19</v>
      </c>
      <c r="E57" s="17" t="s">
        <v>312</v>
      </c>
      <c r="F57" s="17" t="s">
        <v>102</v>
      </c>
      <c r="G57" s="17" t="s">
        <v>313</v>
      </c>
      <c r="H57" s="17" t="s">
        <v>314</v>
      </c>
      <c r="I57" s="17" t="s">
        <v>315</v>
      </c>
      <c r="J57" s="15" t="s">
        <v>25</v>
      </c>
      <c r="K57" s="15" t="s">
        <v>26</v>
      </c>
      <c r="L57" s="18"/>
      <c r="M57" s="19" t="s">
        <v>27</v>
      </c>
      <c r="N57" s="18"/>
      <c r="O57" s="20"/>
      <c r="P57" s="18"/>
    </row>
    <row r="58" ht="26.4" spans="1:16">
      <c r="A58" s="15" t="s">
        <v>316</v>
      </c>
      <c r="B58" s="21" t="s">
        <v>226</v>
      </c>
      <c r="C58" s="17" t="s">
        <v>266</v>
      </c>
      <c r="D58" s="15" t="s">
        <v>187</v>
      </c>
      <c r="E58" s="17" t="s">
        <v>317</v>
      </c>
      <c r="F58" s="17" t="s">
        <v>102</v>
      </c>
      <c r="G58" s="17" t="s">
        <v>318</v>
      </c>
      <c r="H58" s="17" t="s">
        <v>319</v>
      </c>
      <c r="I58" s="17" t="s">
        <v>320</v>
      </c>
      <c r="J58" s="15" t="s">
        <v>25</v>
      </c>
      <c r="K58" s="15" t="s">
        <v>26</v>
      </c>
      <c r="L58" s="18"/>
      <c r="M58" s="19" t="s">
        <v>27</v>
      </c>
      <c r="N58" s="18"/>
      <c r="O58" s="20"/>
      <c r="P58" s="18"/>
    </row>
    <row r="59" ht="26.4" spans="1:16">
      <c r="A59" s="15" t="s">
        <v>321</v>
      </c>
      <c r="B59" s="21" t="s">
        <v>226</v>
      </c>
      <c r="C59" s="17" t="s">
        <v>266</v>
      </c>
      <c r="D59" s="15" t="s">
        <v>66</v>
      </c>
      <c r="E59" s="17" t="s">
        <v>322</v>
      </c>
      <c r="F59" s="17" t="s">
        <v>102</v>
      </c>
      <c r="G59" s="17" t="s">
        <v>323</v>
      </c>
      <c r="H59" s="17" t="s">
        <v>324</v>
      </c>
      <c r="I59" s="17" t="s">
        <v>325</v>
      </c>
      <c r="J59" s="15" t="s">
        <v>25</v>
      </c>
      <c r="K59" s="15" t="s">
        <v>26</v>
      </c>
      <c r="L59" s="18"/>
      <c r="M59" s="19" t="s">
        <v>27</v>
      </c>
      <c r="N59" s="18"/>
      <c r="O59" s="20"/>
      <c r="P59" s="18"/>
    </row>
    <row r="60" ht="26.4" spans="1:16">
      <c r="A60" s="15" t="s">
        <v>326</v>
      </c>
      <c r="B60" s="21" t="s">
        <v>226</v>
      </c>
      <c r="C60" s="17" t="s">
        <v>266</v>
      </c>
      <c r="D60" s="15" t="s">
        <v>19</v>
      </c>
      <c r="E60" s="17" t="s">
        <v>327</v>
      </c>
      <c r="F60" s="17" t="s">
        <v>102</v>
      </c>
      <c r="G60" s="17" t="s">
        <v>328</v>
      </c>
      <c r="H60" s="17" t="s">
        <v>329</v>
      </c>
      <c r="I60" s="17" t="s">
        <v>330</v>
      </c>
      <c r="J60" s="15" t="s">
        <v>25</v>
      </c>
      <c r="K60" s="15" t="s">
        <v>26</v>
      </c>
      <c r="L60" s="18"/>
      <c r="M60" s="19" t="s">
        <v>27</v>
      </c>
      <c r="N60" s="18"/>
      <c r="O60" s="20"/>
      <c r="P60" s="18"/>
    </row>
    <row r="61" ht="26.4" spans="1:16">
      <c r="A61" s="15" t="s">
        <v>331</v>
      </c>
      <c r="B61" s="21" t="s">
        <v>226</v>
      </c>
      <c r="C61" s="17" t="s">
        <v>332</v>
      </c>
      <c r="D61" s="15" t="s">
        <v>19</v>
      </c>
      <c r="E61" s="17" t="s">
        <v>333</v>
      </c>
      <c r="F61" s="17" t="s">
        <v>102</v>
      </c>
      <c r="G61" s="17" t="s">
        <v>334</v>
      </c>
      <c r="H61" s="17" t="s">
        <v>335</v>
      </c>
      <c r="I61" s="17" t="s">
        <v>336</v>
      </c>
      <c r="J61" s="15" t="s">
        <v>41</v>
      </c>
      <c r="K61" s="15" t="s">
        <v>26</v>
      </c>
      <c r="L61" s="18"/>
      <c r="M61" s="19" t="s">
        <v>27</v>
      </c>
      <c r="N61" s="18"/>
      <c r="O61" s="20"/>
      <c r="P61" s="18"/>
    </row>
    <row r="62" ht="26.4" spans="1:16">
      <c r="A62" s="15" t="s">
        <v>337</v>
      </c>
      <c r="B62" s="21" t="s">
        <v>226</v>
      </c>
      <c r="C62" s="17" t="s">
        <v>332</v>
      </c>
      <c r="D62" s="15" t="s">
        <v>19</v>
      </c>
      <c r="E62" s="17" t="s">
        <v>338</v>
      </c>
      <c r="F62" s="17" t="s">
        <v>102</v>
      </c>
      <c r="G62" s="17" t="s">
        <v>339</v>
      </c>
      <c r="H62" s="17" t="s">
        <v>340</v>
      </c>
      <c r="I62" s="17" t="s">
        <v>341</v>
      </c>
      <c r="J62" s="15" t="s">
        <v>41</v>
      </c>
      <c r="K62" s="15" t="s">
        <v>26</v>
      </c>
      <c r="L62" s="18"/>
      <c r="M62" s="19" t="s">
        <v>27</v>
      </c>
      <c r="N62" s="18"/>
      <c r="O62" s="20"/>
      <c r="P62" s="18"/>
    </row>
    <row r="63" ht="26.4" spans="1:16">
      <c r="A63" s="15" t="s">
        <v>342</v>
      </c>
      <c r="B63" s="21" t="s">
        <v>226</v>
      </c>
      <c r="C63" s="17" t="s">
        <v>332</v>
      </c>
      <c r="D63" s="15" t="s">
        <v>19</v>
      </c>
      <c r="E63" s="17" t="s">
        <v>343</v>
      </c>
      <c r="F63" s="17" t="s">
        <v>102</v>
      </c>
      <c r="G63" s="17" t="s">
        <v>344</v>
      </c>
      <c r="H63" s="17" t="s">
        <v>345</v>
      </c>
      <c r="I63" s="17" t="s">
        <v>346</v>
      </c>
      <c r="J63" s="15" t="s">
        <v>41</v>
      </c>
      <c r="K63" s="15" t="s">
        <v>26</v>
      </c>
      <c r="L63" s="18"/>
      <c r="M63" s="19" t="s">
        <v>27</v>
      </c>
      <c r="N63" s="18"/>
      <c r="O63" s="20"/>
      <c r="P63" s="18"/>
    </row>
    <row r="64" ht="26.4" spans="1:16">
      <c r="A64" s="15" t="s">
        <v>347</v>
      </c>
      <c r="B64" s="21" t="s">
        <v>226</v>
      </c>
      <c r="C64" s="17" t="s">
        <v>332</v>
      </c>
      <c r="D64" s="15" t="s">
        <v>19</v>
      </c>
      <c r="E64" s="17" t="s">
        <v>348</v>
      </c>
      <c r="F64" s="17" t="s">
        <v>102</v>
      </c>
      <c r="G64" s="17" t="s">
        <v>349</v>
      </c>
      <c r="H64" s="17" t="s">
        <v>350</v>
      </c>
      <c r="I64" s="17" t="s">
        <v>351</v>
      </c>
      <c r="J64" s="15" t="s">
        <v>41</v>
      </c>
      <c r="K64" s="15" t="s">
        <v>26</v>
      </c>
      <c r="L64" s="18"/>
      <c r="M64" s="19" t="s">
        <v>27</v>
      </c>
      <c r="N64" s="18"/>
      <c r="O64" s="20"/>
      <c r="P64" s="18"/>
    </row>
    <row r="65" ht="26.4" spans="1:16">
      <c r="A65" s="15" t="s">
        <v>352</v>
      </c>
      <c r="B65" s="21" t="s">
        <v>226</v>
      </c>
      <c r="C65" s="17" t="s">
        <v>332</v>
      </c>
      <c r="D65" s="15" t="s">
        <v>35</v>
      </c>
      <c r="E65" s="17" t="s">
        <v>353</v>
      </c>
      <c r="F65" s="17" t="s">
        <v>102</v>
      </c>
      <c r="G65" s="17" t="s">
        <v>354</v>
      </c>
      <c r="H65" s="17" t="s">
        <v>355</v>
      </c>
      <c r="I65" s="17" t="s">
        <v>356</v>
      </c>
      <c r="J65" s="15" t="s">
        <v>41</v>
      </c>
      <c r="K65" s="15" t="s">
        <v>26</v>
      </c>
      <c r="L65" s="18"/>
      <c r="M65" s="19" t="s">
        <v>27</v>
      </c>
      <c r="N65" s="18"/>
      <c r="O65" s="20"/>
      <c r="P65" s="18"/>
    </row>
    <row r="66" spans="1:16">
      <c r="A66" s="15" t="s">
        <v>357</v>
      </c>
      <c r="B66" s="21" t="s">
        <v>226</v>
      </c>
      <c r="C66" s="17" t="s">
        <v>332</v>
      </c>
      <c r="D66" s="15" t="s">
        <v>72</v>
      </c>
      <c r="E66" s="17" t="s">
        <v>358</v>
      </c>
      <c r="F66" s="17" t="s">
        <v>102</v>
      </c>
      <c r="G66" s="17" t="s">
        <v>359</v>
      </c>
      <c r="H66" s="17" t="s">
        <v>360</v>
      </c>
      <c r="I66" s="17" t="s">
        <v>361</v>
      </c>
      <c r="J66" s="15" t="s">
        <v>41</v>
      </c>
      <c r="K66" s="15" t="s">
        <v>26</v>
      </c>
      <c r="L66" s="18"/>
      <c r="M66" s="19" t="s">
        <v>27</v>
      </c>
      <c r="N66" s="18"/>
      <c r="O66" s="20"/>
      <c r="P66" s="18"/>
    </row>
    <row r="67" spans="1:16">
      <c r="A67" s="15" t="s">
        <v>362</v>
      </c>
      <c r="B67" s="21" t="s">
        <v>226</v>
      </c>
      <c r="C67" s="17" t="s">
        <v>332</v>
      </c>
      <c r="D67" s="15" t="s">
        <v>66</v>
      </c>
      <c r="E67" s="17" t="s">
        <v>363</v>
      </c>
      <c r="F67" s="17" t="s">
        <v>102</v>
      </c>
      <c r="G67" s="17" t="s">
        <v>364</v>
      </c>
      <c r="H67" s="17" t="s">
        <v>365</v>
      </c>
      <c r="I67" s="17" t="s">
        <v>366</v>
      </c>
      <c r="J67" s="15" t="s">
        <v>41</v>
      </c>
      <c r="K67" s="15" t="s">
        <v>26</v>
      </c>
      <c r="L67" s="18"/>
      <c r="M67" s="19" t="s">
        <v>27</v>
      </c>
      <c r="N67" s="18"/>
      <c r="O67" s="20"/>
      <c r="P67" s="18"/>
    </row>
    <row r="68" ht="26.4" spans="1:16">
      <c r="A68" s="15" t="s">
        <v>367</v>
      </c>
      <c r="B68" s="21" t="s">
        <v>226</v>
      </c>
      <c r="C68" s="17" t="s">
        <v>368</v>
      </c>
      <c r="D68" s="15" t="s">
        <v>19</v>
      </c>
      <c r="E68" s="17" t="s">
        <v>369</v>
      </c>
      <c r="F68" s="17" t="s">
        <v>102</v>
      </c>
      <c r="G68" s="17" t="s">
        <v>370</v>
      </c>
      <c r="H68" s="17" t="s">
        <v>371</v>
      </c>
      <c r="I68" s="17" t="s">
        <v>372</v>
      </c>
      <c r="J68" s="15" t="s">
        <v>41</v>
      </c>
      <c r="K68" s="15" t="s">
        <v>26</v>
      </c>
      <c r="L68" s="18"/>
      <c r="M68" s="19" t="s">
        <v>27</v>
      </c>
      <c r="N68" s="18"/>
      <c r="O68" s="20"/>
      <c r="P68" s="18"/>
    </row>
    <row r="69" ht="26.4" spans="1:16">
      <c r="A69" s="15" t="s">
        <v>373</v>
      </c>
      <c r="B69" s="21" t="s">
        <v>226</v>
      </c>
      <c r="C69" s="17" t="s">
        <v>368</v>
      </c>
      <c r="D69" s="15" t="s">
        <v>19</v>
      </c>
      <c r="E69" s="17" t="s">
        <v>374</v>
      </c>
      <c r="F69" s="17" t="s">
        <v>102</v>
      </c>
      <c r="G69" s="17" t="s">
        <v>375</v>
      </c>
      <c r="H69" s="17" t="s">
        <v>376</v>
      </c>
      <c r="I69" s="17" t="s">
        <v>377</v>
      </c>
      <c r="J69" s="15" t="s">
        <v>41</v>
      </c>
      <c r="K69" s="15" t="s">
        <v>26</v>
      </c>
      <c r="L69" s="18"/>
      <c r="M69" s="19" t="s">
        <v>27</v>
      </c>
      <c r="N69" s="18"/>
      <c r="O69" s="20"/>
      <c r="P69" s="18"/>
    </row>
    <row r="70" ht="26.4" spans="1:16">
      <c r="A70" s="15" t="s">
        <v>378</v>
      </c>
      <c r="B70" s="21" t="s">
        <v>226</v>
      </c>
      <c r="C70" s="17" t="s">
        <v>368</v>
      </c>
      <c r="D70" s="15" t="s">
        <v>19</v>
      </c>
      <c r="E70" s="17" t="s">
        <v>379</v>
      </c>
      <c r="F70" s="17" t="s">
        <v>102</v>
      </c>
      <c r="G70" s="17" t="s">
        <v>380</v>
      </c>
      <c r="H70" s="17" t="s">
        <v>381</v>
      </c>
      <c r="I70" s="17" t="s">
        <v>382</v>
      </c>
      <c r="J70" s="15" t="s">
        <v>41</v>
      </c>
      <c r="K70" s="15" t="s">
        <v>26</v>
      </c>
      <c r="L70" s="18"/>
      <c r="M70" s="19" t="s">
        <v>27</v>
      </c>
      <c r="N70" s="18"/>
      <c r="O70" s="20"/>
      <c r="P70" s="18"/>
    </row>
    <row r="71" ht="26.4" spans="1:16">
      <c r="A71" s="15" t="s">
        <v>383</v>
      </c>
      <c r="B71" s="21" t="s">
        <v>226</v>
      </c>
      <c r="C71" s="17" t="s">
        <v>368</v>
      </c>
      <c r="D71" s="15" t="s">
        <v>19</v>
      </c>
      <c r="E71" s="17" t="s">
        <v>384</v>
      </c>
      <c r="F71" s="17" t="s">
        <v>102</v>
      </c>
      <c r="G71" s="17" t="s">
        <v>385</v>
      </c>
      <c r="H71" s="17" t="s">
        <v>386</v>
      </c>
      <c r="I71" s="17" t="s">
        <v>387</v>
      </c>
      <c r="J71" s="15" t="s">
        <v>41</v>
      </c>
      <c r="K71" s="15" t="s">
        <v>26</v>
      </c>
      <c r="L71" s="18"/>
      <c r="M71" s="19" t="s">
        <v>27</v>
      </c>
      <c r="N71" s="18"/>
      <c r="O71" s="20"/>
      <c r="P71" s="18"/>
    </row>
    <row r="72" ht="26.4" spans="1:16">
      <c r="A72" s="15" t="s">
        <v>388</v>
      </c>
      <c r="B72" s="21" t="s">
        <v>226</v>
      </c>
      <c r="C72" s="17" t="s">
        <v>368</v>
      </c>
      <c r="D72" s="15" t="s">
        <v>19</v>
      </c>
      <c r="E72" s="17" t="s">
        <v>389</v>
      </c>
      <c r="F72" s="17" t="s">
        <v>102</v>
      </c>
      <c r="G72" s="17" t="s">
        <v>390</v>
      </c>
      <c r="H72" s="17" t="s">
        <v>391</v>
      </c>
      <c r="I72" s="17" t="s">
        <v>392</v>
      </c>
      <c r="J72" s="15" t="s">
        <v>41</v>
      </c>
      <c r="K72" s="15" t="s">
        <v>26</v>
      </c>
      <c r="L72" s="18"/>
      <c r="M72" s="19" t="s">
        <v>27</v>
      </c>
      <c r="N72" s="18"/>
      <c r="O72" s="20"/>
      <c r="P72" s="18"/>
    </row>
    <row r="73" ht="26.4" spans="1:16">
      <c r="A73" s="15" t="s">
        <v>393</v>
      </c>
      <c r="B73" s="21" t="s">
        <v>226</v>
      </c>
      <c r="C73" s="17" t="s">
        <v>368</v>
      </c>
      <c r="D73" s="15" t="s">
        <v>35</v>
      </c>
      <c r="E73" s="17" t="s">
        <v>394</v>
      </c>
      <c r="F73" s="17" t="s">
        <v>102</v>
      </c>
      <c r="G73" s="17" t="s">
        <v>395</v>
      </c>
      <c r="H73" s="17" t="s">
        <v>396</v>
      </c>
      <c r="I73" s="17" t="s">
        <v>397</v>
      </c>
      <c r="J73" s="15" t="s">
        <v>41</v>
      </c>
      <c r="K73" s="15" t="s">
        <v>26</v>
      </c>
      <c r="L73" s="18"/>
      <c r="M73" s="19" t="s">
        <v>27</v>
      </c>
      <c r="N73" s="18"/>
      <c r="O73" s="20"/>
      <c r="P73" s="18"/>
    </row>
    <row r="74" ht="26.4" spans="1:16">
      <c r="A74" s="15" t="s">
        <v>398</v>
      </c>
      <c r="B74" s="21" t="s">
        <v>226</v>
      </c>
      <c r="C74" s="17" t="s">
        <v>368</v>
      </c>
      <c r="D74" s="15" t="s">
        <v>19</v>
      </c>
      <c r="E74" s="17" t="s">
        <v>399</v>
      </c>
      <c r="F74" s="17" t="s">
        <v>102</v>
      </c>
      <c r="G74" s="17" t="s">
        <v>400</v>
      </c>
      <c r="H74" s="17" t="s">
        <v>401</v>
      </c>
      <c r="I74" s="17" t="s">
        <v>402</v>
      </c>
      <c r="J74" s="15" t="s">
        <v>41</v>
      </c>
      <c r="K74" s="15" t="s">
        <v>26</v>
      </c>
      <c r="L74" s="18"/>
      <c r="M74" s="19" t="s">
        <v>27</v>
      </c>
      <c r="N74" s="18"/>
      <c r="O74" s="20"/>
      <c r="P74" s="18"/>
    </row>
    <row r="75" ht="26.4" spans="1:16">
      <c r="A75" s="15" t="s">
        <v>403</v>
      </c>
      <c r="B75" s="21" t="s">
        <v>226</v>
      </c>
      <c r="C75" s="17" t="s">
        <v>368</v>
      </c>
      <c r="D75" s="15" t="s">
        <v>19</v>
      </c>
      <c r="E75" s="17" t="s">
        <v>404</v>
      </c>
      <c r="F75" s="17" t="s">
        <v>102</v>
      </c>
      <c r="G75" s="17" t="s">
        <v>405</v>
      </c>
      <c r="H75" s="17" t="s">
        <v>406</v>
      </c>
      <c r="I75" s="17" t="s">
        <v>407</v>
      </c>
      <c r="J75" s="15" t="s">
        <v>25</v>
      </c>
      <c r="K75" s="15" t="s">
        <v>26</v>
      </c>
      <c r="L75" s="18"/>
      <c r="M75" s="19" t="s">
        <v>27</v>
      </c>
      <c r="N75" s="18"/>
      <c r="O75" s="20"/>
      <c r="P75" s="18"/>
    </row>
    <row r="76" spans="1:16">
      <c r="A76" s="15" t="s">
        <v>408</v>
      </c>
      <c r="B76" s="21" t="s">
        <v>226</v>
      </c>
      <c r="C76" s="17" t="s">
        <v>409</v>
      </c>
      <c r="D76" s="15" t="s">
        <v>19</v>
      </c>
      <c r="E76" s="17" t="s">
        <v>410</v>
      </c>
      <c r="F76" s="17" t="s">
        <v>102</v>
      </c>
      <c r="G76" s="17" t="s">
        <v>411</v>
      </c>
      <c r="H76" s="17" t="s">
        <v>412</v>
      </c>
      <c r="I76" s="17" t="s">
        <v>413</v>
      </c>
      <c r="J76" s="15" t="s">
        <v>41</v>
      </c>
      <c r="K76" s="15" t="s">
        <v>26</v>
      </c>
      <c r="L76" s="18"/>
      <c r="M76" s="19" t="s">
        <v>27</v>
      </c>
      <c r="N76" s="18"/>
      <c r="O76" s="20"/>
      <c r="P76" s="18"/>
    </row>
    <row r="77" spans="1:16">
      <c r="A77" s="15" t="s">
        <v>414</v>
      </c>
      <c r="B77" s="21" t="s">
        <v>226</v>
      </c>
      <c r="C77" s="17" t="s">
        <v>409</v>
      </c>
      <c r="D77" s="15" t="s">
        <v>19</v>
      </c>
      <c r="E77" s="17" t="s">
        <v>415</v>
      </c>
      <c r="F77" s="17" t="s">
        <v>102</v>
      </c>
      <c r="G77" s="17" t="s">
        <v>416</v>
      </c>
      <c r="H77" s="17" t="s">
        <v>417</v>
      </c>
      <c r="I77" s="17" t="s">
        <v>418</v>
      </c>
      <c r="J77" s="15" t="s">
        <v>41</v>
      </c>
      <c r="K77" s="15" t="s">
        <v>26</v>
      </c>
      <c r="L77" s="18"/>
      <c r="M77" s="19" t="s">
        <v>27</v>
      </c>
      <c r="N77" s="18"/>
      <c r="O77" s="20"/>
      <c r="P77" s="18"/>
    </row>
    <row r="78" spans="1:16">
      <c r="A78" s="15" t="s">
        <v>419</v>
      </c>
      <c r="B78" s="21" t="s">
        <v>226</v>
      </c>
      <c r="C78" s="17" t="s">
        <v>409</v>
      </c>
      <c r="D78" s="15" t="s">
        <v>19</v>
      </c>
      <c r="E78" s="17" t="s">
        <v>420</v>
      </c>
      <c r="F78" s="17" t="s">
        <v>102</v>
      </c>
      <c r="G78" s="17" t="s">
        <v>421</v>
      </c>
      <c r="H78" s="17" t="s">
        <v>422</v>
      </c>
      <c r="I78" s="17" t="s">
        <v>423</v>
      </c>
      <c r="J78" s="15" t="s">
        <v>41</v>
      </c>
      <c r="K78" s="15" t="s">
        <v>26</v>
      </c>
      <c r="L78" s="18"/>
      <c r="M78" s="19" t="s">
        <v>27</v>
      </c>
      <c r="N78" s="18"/>
      <c r="O78" s="20"/>
      <c r="P78" s="18"/>
    </row>
    <row r="79" spans="1:16">
      <c r="A79" s="15" t="s">
        <v>424</v>
      </c>
      <c r="B79" s="21" t="s">
        <v>226</v>
      </c>
      <c r="C79" s="17" t="s">
        <v>409</v>
      </c>
      <c r="D79" s="15" t="s">
        <v>19</v>
      </c>
      <c r="E79" s="17" t="s">
        <v>425</v>
      </c>
      <c r="F79" s="17" t="s">
        <v>102</v>
      </c>
      <c r="G79" s="17" t="s">
        <v>426</v>
      </c>
      <c r="H79" s="17" t="s">
        <v>427</v>
      </c>
      <c r="I79" s="17" t="s">
        <v>428</v>
      </c>
      <c r="J79" s="15" t="s">
        <v>41</v>
      </c>
      <c r="K79" s="15" t="s">
        <v>26</v>
      </c>
      <c r="L79" s="18"/>
      <c r="M79" s="19" t="s">
        <v>27</v>
      </c>
      <c r="N79" s="18"/>
      <c r="O79" s="20"/>
      <c r="P79" s="18"/>
    </row>
    <row r="80" spans="1:16">
      <c r="A80" s="15" t="s">
        <v>429</v>
      </c>
      <c r="B80" s="21" t="s">
        <v>226</v>
      </c>
      <c r="C80" s="17" t="s">
        <v>409</v>
      </c>
      <c r="D80" s="15" t="s">
        <v>19</v>
      </c>
      <c r="E80" s="17" t="s">
        <v>430</v>
      </c>
      <c r="F80" s="17" t="s">
        <v>102</v>
      </c>
      <c r="G80" s="17" t="s">
        <v>431</v>
      </c>
      <c r="H80" s="17" t="s">
        <v>432</v>
      </c>
      <c r="I80" s="17" t="s">
        <v>433</v>
      </c>
      <c r="J80" s="15" t="s">
        <v>41</v>
      </c>
      <c r="K80" s="15" t="s">
        <v>26</v>
      </c>
      <c r="L80" s="18"/>
      <c r="M80" s="19" t="s">
        <v>27</v>
      </c>
      <c r="N80" s="18"/>
      <c r="O80" s="20"/>
      <c r="P80" s="18"/>
    </row>
    <row r="81" spans="1:16">
      <c r="A81" s="15" t="s">
        <v>434</v>
      </c>
      <c r="B81" s="21" t="s">
        <v>226</v>
      </c>
      <c r="C81" s="17" t="s">
        <v>409</v>
      </c>
      <c r="D81" s="15" t="s">
        <v>19</v>
      </c>
      <c r="E81" s="17" t="s">
        <v>435</v>
      </c>
      <c r="F81" s="17" t="s">
        <v>102</v>
      </c>
      <c r="G81" s="17" t="s">
        <v>436</v>
      </c>
      <c r="H81" s="17" t="s">
        <v>437</v>
      </c>
      <c r="I81" s="17" t="s">
        <v>438</v>
      </c>
      <c r="J81" s="15" t="s">
        <v>41</v>
      </c>
      <c r="K81" s="15" t="s">
        <v>26</v>
      </c>
      <c r="L81" s="18"/>
      <c r="M81" s="19" t="s">
        <v>27</v>
      </c>
      <c r="N81" s="18"/>
      <c r="O81" s="20"/>
      <c r="P81" s="18"/>
    </row>
    <row r="82" spans="1:16">
      <c r="A82" s="15" t="s">
        <v>439</v>
      </c>
      <c r="B82" s="21" t="s">
        <v>226</v>
      </c>
      <c r="C82" s="17" t="s">
        <v>409</v>
      </c>
      <c r="D82" s="15" t="s">
        <v>35</v>
      </c>
      <c r="E82" s="17" t="s">
        <v>440</v>
      </c>
      <c r="F82" s="17" t="s">
        <v>102</v>
      </c>
      <c r="G82" s="17" t="s">
        <v>441</v>
      </c>
      <c r="H82" s="17" t="s">
        <v>442</v>
      </c>
      <c r="I82" s="17" t="s">
        <v>443</v>
      </c>
      <c r="J82" s="15" t="s">
        <v>164</v>
      </c>
      <c r="K82" s="15" t="s">
        <v>26</v>
      </c>
      <c r="L82" s="18"/>
      <c r="M82" s="19" t="s">
        <v>27</v>
      </c>
      <c r="N82" s="18"/>
      <c r="O82" s="20"/>
      <c r="P82" s="18"/>
    </row>
    <row r="83" ht="26.4" spans="1:16">
      <c r="A83" s="15" t="s">
        <v>444</v>
      </c>
      <c r="B83" s="21" t="s">
        <v>226</v>
      </c>
      <c r="C83" s="17" t="s">
        <v>445</v>
      </c>
      <c r="D83" s="15" t="s">
        <v>19</v>
      </c>
      <c r="E83" s="17" t="s">
        <v>446</v>
      </c>
      <c r="F83" s="17" t="s">
        <v>102</v>
      </c>
      <c r="G83" s="17" t="s">
        <v>447</v>
      </c>
      <c r="H83" s="17" t="s">
        <v>448</v>
      </c>
      <c r="I83" s="17" t="s">
        <v>449</v>
      </c>
      <c r="J83" s="15" t="s">
        <v>41</v>
      </c>
      <c r="K83" s="15" t="s">
        <v>26</v>
      </c>
      <c r="L83" s="18"/>
      <c r="M83" s="19" t="s">
        <v>27</v>
      </c>
      <c r="N83" s="18"/>
      <c r="O83" s="20"/>
      <c r="P83" s="18"/>
    </row>
    <row r="84" spans="1:16">
      <c r="A84" s="15" t="s">
        <v>450</v>
      </c>
      <c r="B84" s="21" t="s">
        <v>226</v>
      </c>
      <c r="C84" s="17" t="s">
        <v>445</v>
      </c>
      <c r="D84" s="15" t="s">
        <v>19</v>
      </c>
      <c r="E84" s="17" t="s">
        <v>451</v>
      </c>
      <c r="F84" s="17" t="s">
        <v>102</v>
      </c>
      <c r="G84" s="17" t="s">
        <v>452</v>
      </c>
      <c r="H84" s="17" t="s">
        <v>453</v>
      </c>
      <c r="I84" s="17" t="s">
        <v>454</v>
      </c>
      <c r="J84" s="15" t="s">
        <v>41</v>
      </c>
      <c r="K84" s="15" t="s">
        <v>26</v>
      </c>
      <c r="L84" s="18"/>
      <c r="M84" s="19" t="s">
        <v>27</v>
      </c>
      <c r="N84" s="18"/>
      <c r="O84" s="20"/>
      <c r="P84" s="18"/>
    </row>
    <row r="85" spans="1:16">
      <c r="A85" s="15" t="s">
        <v>455</v>
      </c>
      <c r="B85" s="21" t="s">
        <v>226</v>
      </c>
      <c r="C85" s="17" t="s">
        <v>445</v>
      </c>
      <c r="D85" s="15" t="s">
        <v>19</v>
      </c>
      <c r="E85" s="17" t="s">
        <v>456</v>
      </c>
      <c r="F85" s="17" t="s">
        <v>102</v>
      </c>
      <c r="G85" s="17" t="s">
        <v>457</v>
      </c>
      <c r="H85" s="17" t="s">
        <v>458</v>
      </c>
      <c r="I85" s="17" t="s">
        <v>459</v>
      </c>
      <c r="J85" s="15" t="s">
        <v>41</v>
      </c>
      <c r="K85" s="15" t="s">
        <v>26</v>
      </c>
      <c r="L85" s="18"/>
      <c r="M85" s="19" t="s">
        <v>27</v>
      </c>
      <c r="N85" s="18"/>
      <c r="O85" s="20"/>
      <c r="P85" s="18"/>
    </row>
    <row r="86" spans="1:16">
      <c r="A86" s="15" t="s">
        <v>460</v>
      </c>
      <c r="B86" s="21" t="s">
        <v>226</v>
      </c>
      <c r="C86" s="17" t="s">
        <v>445</v>
      </c>
      <c r="D86" s="15" t="s">
        <v>72</v>
      </c>
      <c r="E86" s="17" t="s">
        <v>461</v>
      </c>
      <c r="F86" s="17" t="s">
        <v>102</v>
      </c>
      <c r="G86" s="17" t="s">
        <v>462</v>
      </c>
      <c r="H86" s="17" t="s">
        <v>463</v>
      </c>
      <c r="I86" s="17" t="s">
        <v>464</v>
      </c>
      <c r="J86" s="15" t="s">
        <v>41</v>
      </c>
      <c r="K86" s="15" t="s">
        <v>26</v>
      </c>
      <c r="L86" s="18"/>
      <c r="M86" s="19" t="s">
        <v>27</v>
      </c>
      <c r="N86" s="18"/>
      <c r="O86" s="20"/>
      <c r="P86" s="18"/>
    </row>
    <row r="87" spans="1:16">
      <c r="A87" s="15" t="s">
        <v>465</v>
      </c>
      <c r="B87" s="21" t="s">
        <v>226</v>
      </c>
      <c r="C87" s="17" t="s">
        <v>445</v>
      </c>
      <c r="D87" s="15" t="s">
        <v>72</v>
      </c>
      <c r="E87" s="17" t="s">
        <v>466</v>
      </c>
      <c r="F87" s="17" t="s">
        <v>102</v>
      </c>
      <c r="G87" s="17" t="s">
        <v>467</v>
      </c>
      <c r="H87" s="17" t="s">
        <v>468</v>
      </c>
      <c r="I87" s="17" t="s">
        <v>469</v>
      </c>
      <c r="J87" s="15" t="s">
        <v>25</v>
      </c>
      <c r="K87" s="15" t="s">
        <v>26</v>
      </c>
      <c r="L87" s="18"/>
      <c r="M87" s="19" t="s">
        <v>27</v>
      </c>
      <c r="N87" s="18"/>
      <c r="O87" s="20"/>
      <c r="P87" s="18"/>
    </row>
    <row r="88" ht="26.4" spans="1:16">
      <c r="A88" s="15" t="s">
        <v>470</v>
      </c>
      <c r="B88" s="21" t="s">
        <v>226</v>
      </c>
      <c r="C88" s="17" t="s">
        <v>445</v>
      </c>
      <c r="D88" s="15" t="s">
        <v>187</v>
      </c>
      <c r="E88" s="17" t="s">
        <v>471</v>
      </c>
      <c r="F88" s="17" t="s">
        <v>102</v>
      </c>
      <c r="G88" s="17" t="s">
        <v>472</v>
      </c>
      <c r="H88" s="17" t="s">
        <v>473</v>
      </c>
      <c r="I88" s="17" t="s">
        <v>474</v>
      </c>
      <c r="J88" s="15" t="s">
        <v>25</v>
      </c>
      <c r="K88" s="15" t="s">
        <v>26</v>
      </c>
      <c r="L88" s="18"/>
      <c r="M88" s="19" t="s">
        <v>27</v>
      </c>
      <c r="N88" s="18"/>
      <c r="O88" s="20"/>
      <c r="P88" s="18"/>
    </row>
    <row r="89" ht="39.6" spans="1:16">
      <c r="A89" s="15" t="s">
        <v>475</v>
      </c>
      <c r="B89" s="21" t="s">
        <v>226</v>
      </c>
      <c r="C89" s="17" t="s">
        <v>445</v>
      </c>
      <c r="D89" s="15" t="s">
        <v>187</v>
      </c>
      <c r="E89" s="17" t="s">
        <v>476</v>
      </c>
      <c r="F89" s="17" t="s">
        <v>102</v>
      </c>
      <c r="G89" s="17" t="s">
        <v>477</v>
      </c>
      <c r="H89" s="17" t="s">
        <v>82</v>
      </c>
      <c r="I89" s="17" t="s">
        <v>478</v>
      </c>
      <c r="J89" s="15" t="s">
        <v>25</v>
      </c>
      <c r="K89" s="15" t="s">
        <v>165</v>
      </c>
      <c r="L89" s="18"/>
      <c r="M89" s="19" t="s">
        <v>27</v>
      </c>
      <c r="N89" s="18"/>
      <c r="O89" s="20"/>
      <c r="P89" s="18"/>
    </row>
    <row r="90" ht="26.4" spans="1:16">
      <c r="A90" s="15" t="s">
        <v>479</v>
      </c>
      <c r="B90" s="21" t="s">
        <v>226</v>
      </c>
      <c r="C90" s="17" t="s">
        <v>445</v>
      </c>
      <c r="D90" s="15" t="s">
        <v>19</v>
      </c>
      <c r="E90" s="17" t="s">
        <v>480</v>
      </c>
      <c r="F90" s="17" t="s">
        <v>102</v>
      </c>
      <c r="G90" s="17" t="s">
        <v>481</v>
      </c>
      <c r="H90" s="17" t="s">
        <v>482</v>
      </c>
      <c r="I90" s="17" t="s">
        <v>483</v>
      </c>
      <c r="J90" s="15" t="s">
        <v>41</v>
      </c>
      <c r="K90" s="15" t="s">
        <v>26</v>
      </c>
      <c r="L90" s="18"/>
      <c r="M90" s="19" t="s">
        <v>27</v>
      </c>
      <c r="N90" s="18"/>
      <c r="O90" s="20"/>
      <c r="P90" s="18"/>
    </row>
    <row r="91" ht="26.4" spans="1:16">
      <c r="A91" s="15" t="s">
        <v>484</v>
      </c>
      <c r="B91" s="21" t="s">
        <v>226</v>
      </c>
      <c r="C91" s="17" t="s">
        <v>445</v>
      </c>
      <c r="D91" s="15" t="s">
        <v>72</v>
      </c>
      <c r="E91" s="17" t="s">
        <v>485</v>
      </c>
      <c r="F91" s="17" t="s">
        <v>102</v>
      </c>
      <c r="G91" s="17" t="s">
        <v>486</v>
      </c>
      <c r="H91" s="17" t="s">
        <v>487</v>
      </c>
      <c r="I91" s="17" t="s">
        <v>488</v>
      </c>
      <c r="J91" s="15" t="s">
        <v>41</v>
      </c>
      <c r="K91" s="15" t="s">
        <v>26</v>
      </c>
      <c r="L91" s="18"/>
      <c r="M91" s="19" t="s">
        <v>27</v>
      </c>
      <c r="N91" s="18"/>
      <c r="O91" s="20"/>
      <c r="P91" s="18"/>
    </row>
    <row r="92" ht="39.6" spans="1:16">
      <c r="A92" s="15" t="s">
        <v>489</v>
      </c>
      <c r="B92" s="22" t="s">
        <v>490</v>
      </c>
      <c r="C92" s="17" t="s">
        <v>491</v>
      </c>
      <c r="D92" s="15" t="s">
        <v>19</v>
      </c>
      <c r="E92" s="17" t="s">
        <v>492</v>
      </c>
      <c r="F92" s="17" t="s">
        <v>102</v>
      </c>
      <c r="G92" s="17" t="s">
        <v>493</v>
      </c>
      <c r="H92" s="17" t="s">
        <v>494</v>
      </c>
      <c r="I92" s="17" t="s">
        <v>207</v>
      </c>
      <c r="J92" s="15" t="s">
        <v>25</v>
      </c>
      <c r="K92" s="15" t="s">
        <v>26</v>
      </c>
      <c r="L92" s="18"/>
      <c r="M92" s="19" t="s">
        <v>27</v>
      </c>
      <c r="N92" s="18"/>
      <c r="O92" s="20"/>
      <c r="P92" s="18"/>
    </row>
    <row r="93" ht="26.4" spans="1:16">
      <c r="A93" s="15" t="s">
        <v>495</v>
      </c>
      <c r="B93" s="22" t="s">
        <v>490</v>
      </c>
      <c r="C93" s="17" t="s">
        <v>491</v>
      </c>
      <c r="D93" s="15" t="s">
        <v>35</v>
      </c>
      <c r="E93" s="17" t="s">
        <v>496</v>
      </c>
      <c r="F93" s="17" t="s">
        <v>102</v>
      </c>
      <c r="G93" s="17" t="s">
        <v>174</v>
      </c>
      <c r="H93" s="17" t="s">
        <v>497</v>
      </c>
      <c r="I93" s="17" t="s">
        <v>498</v>
      </c>
      <c r="J93" s="15" t="s">
        <v>41</v>
      </c>
      <c r="K93" s="15" t="s">
        <v>26</v>
      </c>
      <c r="L93" s="18"/>
      <c r="M93" s="19" t="s">
        <v>27</v>
      </c>
      <c r="N93" s="18"/>
      <c r="O93" s="20"/>
      <c r="P93" s="18"/>
    </row>
    <row r="94" ht="26.4" spans="1:16">
      <c r="A94" s="15" t="s">
        <v>499</v>
      </c>
      <c r="B94" s="22" t="s">
        <v>490</v>
      </c>
      <c r="C94" s="17" t="s">
        <v>491</v>
      </c>
      <c r="D94" s="15" t="s">
        <v>35</v>
      </c>
      <c r="E94" s="17" t="s">
        <v>500</v>
      </c>
      <c r="F94" s="17" t="s">
        <v>102</v>
      </c>
      <c r="G94" s="17" t="s">
        <v>501</v>
      </c>
      <c r="H94" s="17" t="s">
        <v>502</v>
      </c>
      <c r="I94" s="17" t="s">
        <v>503</v>
      </c>
      <c r="J94" s="15" t="s">
        <v>41</v>
      </c>
      <c r="K94" s="15" t="s">
        <v>26</v>
      </c>
      <c r="L94" s="18"/>
      <c r="M94" s="19" t="s">
        <v>27</v>
      </c>
      <c r="N94" s="18"/>
      <c r="O94" s="20"/>
      <c r="P94" s="18"/>
    </row>
    <row r="95" ht="26.4" spans="1:16">
      <c r="A95" s="15" t="s">
        <v>504</v>
      </c>
      <c r="B95" s="22" t="s">
        <v>490</v>
      </c>
      <c r="C95" s="17" t="s">
        <v>491</v>
      </c>
      <c r="D95" s="15" t="s">
        <v>35</v>
      </c>
      <c r="E95" s="17" t="s">
        <v>505</v>
      </c>
      <c r="F95" s="17" t="s">
        <v>102</v>
      </c>
      <c r="G95" s="17" t="s">
        <v>506</v>
      </c>
      <c r="H95" s="17" t="s">
        <v>507</v>
      </c>
      <c r="I95" s="17" t="s">
        <v>508</v>
      </c>
      <c r="J95" s="15" t="s">
        <v>41</v>
      </c>
      <c r="K95" s="15" t="s">
        <v>26</v>
      </c>
      <c r="L95" s="18"/>
      <c r="M95" s="19" t="s">
        <v>27</v>
      </c>
      <c r="N95" s="18"/>
      <c r="O95" s="20"/>
      <c r="P95" s="18"/>
    </row>
    <row r="96" ht="26.4" spans="1:16">
      <c r="A96" s="15" t="s">
        <v>509</v>
      </c>
      <c r="B96" s="22" t="s">
        <v>490</v>
      </c>
      <c r="C96" s="17" t="s">
        <v>491</v>
      </c>
      <c r="D96" s="15" t="s">
        <v>19</v>
      </c>
      <c r="E96" s="17" t="s">
        <v>510</v>
      </c>
      <c r="F96" s="17" t="s">
        <v>102</v>
      </c>
      <c r="G96" s="17" t="s">
        <v>511</v>
      </c>
      <c r="H96" s="17" t="s">
        <v>512</v>
      </c>
      <c r="I96" s="17" t="s">
        <v>185</v>
      </c>
      <c r="J96" s="15" t="s">
        <v>41</v>
      </c>
      <c r="K96" s="15" t="s">
        <v>26</v>
      </c>
      <c r="L96" s="18"/>
      <c r="M96" s="19" t="s">
        <v>27</v>
      </c>
      <c r="N96" s="18"/>
      <c r="O96" s="20"/>
      <c r="P96" s="18"/>
    </row>
    <row r="97" ht="26.4" spans="1:16">
      <c r="A97" s="15" t="s">
        <v>513</v>
      </c>
      <c r="B97" s="22" t="s">
        <v>490</v>
      </c>
      <c r="C97" s="17" t="s">
        <v>491</v>
      </c>
      <c r="D97" s="15" t="s">
        <v>187</v>
      </c>
      <c r="E97" s="17" t="s">
        <v>514</v>
      </c>
      <c r="F97" s="17" t="s">
        <v>102</v>
      </c>
      <c r="G97" s="17" t="s">
        <v>515</v>
      </c>
      <c r="H97" s="17" t="s">
        <v>516</v>
      </c>
      <c r="I97" s="17" t="s">
        <v>517</v>
      </c>
      <c r="J97" s="15" t="s">
        <v>25</v>
      </c>
      <c r="K97" s="15" t="s">
        <v>26</v>
      </c>
      <c r="L97" s="18"/>
      <c r="M97" s="19" t="s">
        <v>27</v>
      </c>
      <c r="N97" s="18"/>
      <c r="O97" s="20"/>
      <c r="P97" s="18"/>
    </row>
    <row r="98" ht="26.4" spans="1:16">
      <c r="A98" s="15" t="s">
        <v>518</v>
      </c>
      <c r="B98" s="22" t="s">
        <v>490</v>
      </c>
      <c r="C98" s="17" t="s">
        <v>491</v>
      </c>
      <c r="D98" s="15" t="s">
        <v>19</v>
      </c>
      <c r="E98" s="17" t="s">
        <v>519</v>
      </c>
      <c r="F98" s="17" t="s">
        <v>102</v>
      </c>
      <c r="G98" s="17" t="s">
        <v>520</v>
      </c>
      <c r="H98" s="17" t="s">
        <v>521</v>
      </c>
      <c r="I98" s="17" t="s">
        <v>522</v>
      </c>
      <c r="J98" s="15" t="s">
        <v>41</v>
      </c>
      <c r="K98" s="15" t="s">
        <v>26</v>
      </c>
      <c r="L98" s="18"/>
      <c r="M98" s="19" t="s">
        <v>27</v>
      </c>
      <c r="N98" s="18"/>
      <c r="O98" s="20"/>
      <c r="P98" s="18"/>
    </row>
    <row r="99" ht="39.6" spans="1:16">
      <c r="A99" s="15" t="s">
        <v>523</v>
      </c>
      <c r="B99" s="22" t="s">
        <v>490</v>
      </c>
      <c r="C99" s="17" t="s">
        <v>524</v>
      </c>
      <c r="D99" s="15" t="s">
        <v>19</v>
      </c>
      <c r="E99" s="17" t="s">
        <v>525</v>
      </c>
      <c r="F99" s="17" t="s">
        <v>102</v>
      </c>
      <c r="G99" s="17" t="s">
        <v>526</v>
      </c>
      <c r="H99" s="17" t="s">
        <v>527</v>
      </c>
      <c r="I99" s="17" t="s">
        <v>528</v>
      </c>
      <c r="J99" s="15" t="s">
        <v>25</v>
      </c>
      <c r="K99" s="15" t="s">
        <v>26</v>
      </c>
      <c r="L99" s="18"/>
      <c r="M99" s="19" t="s">
        <v>27</v>
      </c>
      <c r="N99" s="18"/>
      <c r="O99" s="20"/>
      <c r="P99" s="18"/>
    </row>
    <row r="100" ht="26.4" spans="1:16">
      <c r="A100" s="15" t="s">
        <v>529</v>
      </c>
      <c r="B100" s="22" t="s">
        <v>490</v>
      </c>
      <c r="C100" s="17" t="s">
        <v>524</v>
      </c>
      <c r="D100" s="15" t="s">
        <v>187</v>
      </c>
      <c r="E100" s="17" t="s">
        <v>530</v>
      </c>
      <c r="F100" s="17" t="s">
        <v>102</v>
      </c>
      <c r="G100" s="17" t="s">
        <v>531</v>
      </c>
      <c r="H100" s="17" t="s">
        <v>532</v>
      </c>
      <c r="I100" s="17" t="s">
        <v>533</v>
      </c>
      <c r="J100" s="15" t="s">
        <v>25</v>
      </c>
      <c r="K100" s="15" t="s">
        <v>26</v>
      </c>
      <c r="L100" s="18"/>
      <c r="M100" s="19" t="s">
        <v>27</v>
      </c>
      <c r="N100" s="18"/>
      <c r="O100" s="20"/>
      <c r="P100" s="18"/>
    </row>
    <row r="101" spans="1:16">
      <c r="A101" s="15" t="s">
        <v>534</v>
      </c>
      <c r="B101" s="22" t="s">
        <v>490</v>
      </c>
      <c r="C101" s="17" t="s">
        <v>524</v>
      </c>
      <c r="D101" s="15" t="s">
        <v>66</v>
      </c>
      <c r="E101" s="17" t="s">
        <v>535</v>
      </c>
      <c r="F101" s="17" t="s">
        <v>102</v>
      </c>
      <c r="G101" s="17" t="s">
        <v>536</v>
      </c>
      <c r="H101" s="17" t="s">
        <v>537</v>
      </c>
      <c r="I101" s="17" t="s">
        <v>538</v>
      </c>
      <c r="J101" s="15" t="s">
        <v>25</v>
      </c>
      <c r="K101" s="15" t="s">
        <v>26</v>
      </c>
      <c r="L101" s="18"/>
      <c r="M101" s="19" t="s">
        <v>27</v>
      </c>
      <c r="N101" s="18"/>
      <c r="O101" s="20"/>
      <c r="P101" s="18"/>
    </row>
    <row r="102" ht="26.4" spans="1:16">
      <c r="A102" s="15" t="s">
        <v>539</v>
      </c>
      <c r="B102" s="22" t="s">
        <v>490</v>
      </c>
      <c r="C102" s="17" t="s">
        <v>524</v>
      </c>
      <c r="D102" s="15" t="s">
        <v>35</v>
      </c>
      <c r="E102" s="17" t="s">
        <v>540</v>
      </c>
      <c r="F102" s="17" t="s">
        <v>102</v>
      </c>
      <c r="G102" s="17" t="s">
        <v>541</v>
      </c>
      <c r="H102" s="17" t="s">
        <v>542</v>
      </c>
      <c r="I102" s="17" t="s">
        <v>300</v>
      </c>
      <c r="J102" s="15" t="s">
        <v>41</v>
      </c>
      <c r="K102" s="15" t="s">
        <v>26</v>
      </c>
      <c r="L102" s="18"/>
      <c r="M102" s="19" t="s">
        <v>27</v>
      </c>
      <c r="N102" s="18"/>
      <c r="O102" s="20"/>
      <c r="P102" s="18"/>
    </row>
    <row r="103" ht="39.6" spans="1:16">
      <c r="A103" s="15" t="s">
        <v>543</v>
      </c>
      <c r="B103" s="22" t="s">
        <v>490</v>
      </c>
      <c r="C103" s="17" t="s">
        <v>544</v>
      </c>
      <c r="D103" s="15" t="s">
        <v>19</v>
      </c>
      <c r="E103" s="17" t="s">
        <v>545</v>
      </c>
      <c r="F103" s="17" t="s">
        <v>102</v>
      </c>
      <c r="G103" s="17" t="s">
        <v>546</v>
      </c>
      <c r="H103" s="17" t="s">
        <v>547</v>
      </c>
      <c r="I103" s="17" t="s">
        <v>548</v>
      </c>
      <c r="J103" s="15" t="s">
        <v>25</v>
      </c>
      <c r="K103" s="15" t="s">
        <v>26</v>
      </c>
      <c r="L103" s="18"/>
      <c r="M103" s="19" t="s">
        <v>27</v>
      </c>
      <c r="N103" s="18"/>
      <c r="O103" s="20"/>
      <c r="P103" s="18"/>
    </row>
    <row r="104" ht="26.4" spans="1:16">
      <c r="A104" s="15" t="s">
        <v>549</v>
      </c>
      <c r="B104" s="22" t="s">
        <v>490</v>
      </c>
      <c r="C104" s="17" t="s">
        <v>544</v>
      </c>
      <c r="D104" s="15" t="s">
        <v>35</v>
      </c>
      <c r="E104" s="17" t="s">
        <v>550</v>
      </c>
      <c r="F104" s="17" t="s">
        <v>102</v>
      </c>
      <c r="G104" s="17" t="s">
        <v>551</v>
      </c>
      <c r="H104" s="17" t="s">
        <v>552</v>
      </c>
      <c r="I104" s="17" t="s">
        <v>553</v>
      </c>
      <c r="J104" s="15" t="s">
        <v>25</v>
      </c>
      <c r="K104" s="15" t="s">
        <v>26</v>
      </c>
      <c r="L104" s="18"/>
      <c r="M104" s="19" t="s">
        <v>27</v>
      </c>
      <c r="N104" s="18"/>
      <c r="O104" s="20"/>
      <c r="P104" s="18"/>
    </row>
    <row r="105" ht="26.4" spans="1:16">
      <c r="A105" s="15" t="s">
        <v>554</v>
      </c>
      <c r="B105" s="22" t="s">
        <v>490</v>
      </c>
      <c r="C105" s="17" t="s">
        <v>544</v>
      </c>
      <c r="D105" s="15" t="s">
        <v>35</v>
      </c>
      <c r="E105" s="17" t="s">
        <v>555</v>
      </c>
      <c r="F105" s="17" t="s">
        <v>102</v>
      </c>
      <c r="G105" s="17" t="s">
        <v>556</v>
      </c>
      <c r="H105" s="17" t="s">
        <v>557</v>
      </c>
      <c r="I105" s="17" t="s">
        <v>553</v>
      </c>
      <c r="J105" s="15" t="s">
        <v>25</v>
      </c>
      <c r="K105" s="15" t="s">
        <v>26</v>
      </c>
      <c r="L105" s="18"/>
      <c r="M105" s="19" t="s">
        <v>27</v>
      </c>
      <c r="N105" s="18"/>
      <c r="O105" s="20"/>
      <c r="P105" s="18"/>
    </row>
    <row r="106" ht="26.4" spans="1:16">
      <c r="A106" s="15" t="s">
        <v>558</v>
      </c>
      <c r="B106" s="22" t="s">
        <v>490</v>
      </c>
      <c r="C106" s="17" t="s">
        <v>544</v>
      </c>
      <c r="D106" s="15" t="s">
        <v>72</v>
      </c>
      <c r="E106" s="17" t="s">
        <v>559</v>
      </c>
      <c r="F106" s="17" t="s">
        <v>102</v>
      </c>
      <c r="G106" s="17" t="s">
        <v>560</v>
      </c>
      <c r="H106" s="17" t="s">
        <v>561</v>
      </c>
      <c r="I106" s="17" t="s">
        <v>295</v>
      </c>
      <c r="J106" s="15" t="s">
        <v>41</v>
      </c>
      <c r="K106" s="15" t="s">
        <v>26</v>
      </c>
      <c r="L106" s="18"/>
      <c r="M106" s="19" t="s">
        <v>27</v>
      </c>
      <c r="N106" s="18"/>
      <c r="O106" s="20"/>
      <c r="P106" s="18"/>
    </row>
    <row r="107" ht="26.4" spans="1:16">
      <c r="A107" s="15" t="s">
        <v>562</v>
      </c>
      <c r="B107" s="22" t="s">
        <v>490</v>
      </c>
      <c r="C107" s="17" t="s">
        <v>544</v>
      </c>
      <c r="D107" s="15" t="s">
        <v>35</v>
      </c>
      <c r="E107" s="17" t="s">
        <v>563</v>
      </c>
      <c r="F107" s="17" t="s">
        <v>102</v>
      </c>
      <c r="G107" s="17" t="s">
        <v>564</v>
      </c>
      <c r="H107" s="17" t="s">
        <v>565</v>
      </c>
      <c r="I107" s="17" t="s">
        <v>566</v>
      </c>
      <c r="J107" s="15" t="s">
        <v>41</v>
      </c>
      <c r="K107" s="15" t="s">
        <v>26</v>
      </c>
      <c r="L107" s="18"/>
      <c r="M107" s="19" t="s">
        <v>27</v>
      </c>
      <c r="N107" s="18"/>
      <c r="O107" s="20"/>
      <c r="P107" s="18"/>
    </row>
    <row r="108" ht="26.4" spans="1:16">
      <c r="A108" s="15" t="s">
        <v>567</v>
      </c>
      <c r="B108" s="22" t="s">
        <v>490</v>
      </c>
      <c r="C108" s="17" t="s">
        <v>544</v>
      </c>
      <c r="D108" s="15" t="s">
        <v>72</v>
      </c>
      <c r="E108" s="17" t="s">
        <v>568</v>
      </c>
      <c r="F108" s="17" t="s">
        <v>102</v>
      </c>
      <c r="G108" s="17" t="s">
        <v>569</v>
      </c>
      <c r="H108" s="17" t="s">
        <v>570</v>
      </c>
      <c r="I108" s="17" t="s">
        <v>571</v>
      </c>
      <c r="J108" s="15" t="s">
        <v>41</v>
      </c>
      <c r="K108" s="15" t="s">
        <v>26</v>
      </c>
      <c r="L108" s="18"/>
      <c r="M108" s="19" t="s">
        <v>27</v>
      </c>
      <c r="N108" s="18"/>
      <c r="O108" s="20"/>
      <c r="P108" s="18"/>
    </row>
    <row r="109" ht="26.4" spans="1:16">
      <c r="A109" s="15" t="s">
        <v>572</v>
      </c>
      <c r="B109" s="22" t="s">
        <v>490</v>
      </c>
      <c r="C109" s="17" t="s">
        <v>573</v>
      </c>
      <c r="D109" s="15" t="s">
        <v>187</v>
      </c>
      <c r="E109" s="17" t="s">
        <v>574</v>
      </c>
      <c r="F109" s="17" t="s">
        <v>102</v>
      </c>
      <c r="G109" s="17" t="s">
        <v>575</v>
      </c>
      <c r="H109" s="17" t="s">
        <v>576</v>
      </c>
      <c r="I109" s="17" t="s">
        <v>577</v>
      </c>
      <c r="J109" s="15" t="s">
        <v>25</v>
      </c>
      <c r="K109" s="15" t="s">
        <v>578</v>
      </c>
      <c r="L109" s="18"/>
      <c r="M109" s="19" t="s">
        <v>27</v>
      </c>
      <c r="N109" s="18"/>
      <c r="O109" s="20"/>
      <c r="P109" s="18"/>
    </row>
    <row r="110" ht="26.4" spans="1:16">
      <c r="A110" s="15" t="s">
        <v>579</v>
      </c>
      <c r="B110" s="22" t="s">
        <v>490</v>
      </c>
      <c r="C110" s="17" t="s">
        <v>573</v>
      </c>
      <c r="D110" s="15" t="s">
        <v>187</v>
      </c>
      <c r="E110" s="17" t="s">
        <v>580</v>
      </c>
      <c r="F110" s="17" t="s">
        <v>102</v>
      </c>
      <c r="G110" s="17" t="s">
        <v>581</v>
      </c>
      <c r="H110" s="17" t="s">
        <v>582</v>
      </c>
      <c r="I110" s="17" t="s">
        <v>583</v>
      </c>
      <c r="J110" s="15" t="s">
        <v>25</v>
      </c>
      <c r="K110" s="15" t="s">
        <v>578</v>
      </c>
      <c r="L110" s="18"/>
      <c r="M110" s="19" t="s">
        <v>27</v>
      </c>
      <c r="N110" s="18"/>
      <c r="O110" s="20"/>
      <c r="P110" s="18"/>
    </row>
    <row r="111" ht="26.4" spans="1:16">
      <c r="A111" s="15" t="s">
        <v>584</v>
      </c>
      <c r="B111" s="22" t="s">
        <v>490</v>
      </c>
      <c r="C111" s="17" t="s">
        <v>573</v>
      </c>
      <c r="D111" s="15" t="s">
        <v>66</v>
      </c>
      <c r="E111" s="17" t="s">
        <v>585</v>
      </c>
      <c r="F111" s="17" t="s">
        <v>102</v>
      </c>
      <c r="G111" s="17" t="s">
        <v>586</v>
      </c>
      <c r="H111" s="17" t="s">
        <v>587</v>
      </c>
      <c r="I111" s="17" t="s">
        <v>588</v>
      </c>
      <c r="J111" s="15" t="s">
        <v>25</v>
      </c>
      <c r="K111" s="15" t="s">
        <v>26</v>
      </c>
      <c r="L111" s="18"/>
      <c r="M111" s="19" t="s">
        <v>27</v>
      </c>
      <c r="N111" s="18"/>
      <c r="O111" s="20"/>
      <c r="P111" s="18"/>
    </row>
    <row r="112" ht="26.4" spans="1:16">
      <c r="A112" s="15" t="s">
        <v>589</v>
      </c>
      <c r="B112" s="22" t="s">
        <v>490</v>
      </c>
      <c r="C112" s="17" t="s">
        <v>590</v>
      </c>
      <c r="D112" s="15" t="s">
        <v>19</v>
      </c>
      <c r="E112" s="17" t="s">
        <v>591</v>
      </c>
      <c r="F112" s="17" t="s">
        <v>102</v>
      </c>
      <c r="G112" s="17" t="s">
        <v>592</v>
      </c>
      <c r="H112" s="17" t="s">
        <v>593</v>
      </c>
      <c r="I112" s="17" t="s">
        <v>594</v>
      </c>
      <c r="J112" s="15" t="s">
        <v>25</v>
      </c>
      <c r="K112" s="15" t="s">
        <v>26</v>
      </c>
      <c r="L112" s="18"/>
      <c r="M112" s="19" t="s">
        <v>27</v>
      </c>
      <c r="N112" s="18"/>
      <c r="O112" s="20"/>
      <c r="P112" s="18"/>
    </row>
    <row r="113" ht="26.4" spans="1:16">
      <c r="A113" s="15" t="s">
        <v>595</v>
      </c>
      <c r="B113" s="22" t="s">
        <v>490</v>
      </c>
      <c r="C113" s="17" t="s">
        <v>590</v>
      </c>
      <c r="D113" s="15" t="s">
        <v>187</v>
      </c>
      <c r="E113" s="17" t="s">
        <v>596</v>
      </c>
      <c r="F113" s="17" t="s">
        <v>102</v>
      </c>
      <c r="G113" s="17" t="s">
        <v>597</v>
      </c>
      <c r="H113" s="17" t="s">
        <v>598</v>
      </c>
      <c r="I113" s="17" t="s">
        <v>599</v>
      </c>
      <c r="J113" s="15" t="s">
        <v>25</v>
      </c>
      <c r="K113" s="15" t="s">
        <v>26</v>
      </c>
      <c r="L113" s="18"/>
      <c r="M113" s="19" t="s">
        <v>27</v>
      </c>
      <c r="N113" s="18"/>
      <c r="O113" s="20"/>
      <c r="P113" s="18"/>
    </row>
    <row r="114" ht="26.4" spans="1:16">
      <c r="A114" s="15" t="s">
        <v>600</v>
      </c>
      <c r="B114" s="22" t="s">
        <v>490</v>
      </c>
      <c r="C114" s="17" t="s">
        <v>590</v>
      </c>
      <c r="D114" s="15" t="s">
        <v>35</v>
      </c>
      <c r="E114" s="17" t="s">
        <v>601</v>
      </c>
      <c r="F114" s="17" t="s">
        <v>102</v>
      </c>
      <c r="G114" s="17" t="s">
        <v>602</v>
      </c>
      <c r="H114" s="17" t="s">
        <v>603</v>
      </c>
      <c r="I114" s="17" t="s">
        <v>604</v>
      </c>
      <c r="J114" s="15" t="s">
        <v>41</v>
      </c>
      <c r="K114" s="15" t="s">
        <v>26</v>
      </c>
      <c r="L114" s="18"/>
      <c r="M114" s="19" t="s">
        <v>27</v>
      </c>
      <c r="N114" s="18"/>
      <c r="O114" s="20"/>
      <c r="P114" s="18"/>
    </row>
    <row r="115" ht="39.6" spans="1:16">
      <c r="A115" s="15" t="s">
        <v>605</v>
      </c>
      <c r="B115" s="22" t="s">
        <v>490</v>
      </c>
      <c r="C115" s="17" t="s">
        <v>590</v>
      </c>
      <c r="D115" s="15" t="s">
        <v>187</v>
      </c>
      <c r="E115" s="17" t="s">
        <v>606</v>
      </c>
      <c r="F115" s="17" t="s">
        <v>102</v>
      </c>
      <c r="G115" s="17" t="s">
        <v>607</v>
      </c>
      <c r="H115" s="17" t="s">
        <v>608</v>
      </c>
      <c r="I115" s="17" t="s">
        <v>609</v>
      </c>
      <c r="J115" s="15" t="s">
        <v>25</v>
      </c>
      <c r="K115" s="15" t="s">
        <v>26</v>
      </c>
      <c r="L115" s="18"/>
      <c r="M115" s="19" t="s">
        <v>27</v>
      </c>
      <c r="N115" s="18"/>
      <c r="O115" s="20"/>
      <c r="P115" s="18"/>
    </row>
    <row r="116" ht="26.4" spans="1:16">
      <c r="A116" s="15" t="s">
        <v>610</v>
      </c>
      <c r="B116" s="22" t="s">
        <v>490</v>
      </c>
      <c r="C116" s="17" t="s">
        <v>590</v>
      </c>
      <c r="D116" s="15" t="s">
        <v>187</v>
      </c>
      <c r="E116" s="17" t="s">
        <v>611</v>
      </c>
      <c r="F116" s="17" t="s">
        <v>102</v>
      </c>
      <c r="G116" s="17" t="s">
        <v>612</v>
      </c>
      <c r="H116" s="17" t="s">
        <v>613</v>
      </c>
      <c r="I116" s="17" t="s">
        <v>614</v>
      </c>
      <c r="J116" s="15" t="s">
        <v>25</v>
      </c>
      <c r="K116" s="15" t="s">
        <v>26</v>
      </c>
      <c r="L116" s="18"/>
      <c r="M116" s="19" t="s">
        <v>27</v>
      </c>
      <c r="N116" s="18"/>
      <c r="O116" s="20"/>
      <c r="P116" s="18"/>
    </row>
    <row r="117" ht="26.4" spans="1:16">
      <c r="A117" s="15" t="s">
        <v>615</v>
      </c>
      <c r="B117" s="22" t="s">
        <v>490</v>
      </c>
      <c r="C117" s="17" t="s">
        <v>590</v>
      </c>
      <c r="D117" s="15" t="s">
        <v>19</v>
      </c>
      <c r="E117" s="17" t="s">
        <v>616</v>
      </c>
      <c r="F117" s="17" t="s">
        <v>102</v>
      </c>
      <c r="G117" s="17" t="s">
        <v>617</v>
      </c>
      <c r="H117" s="17" t="s">
        <v>618</v>
      </c>
      <c r="I117" s="17" t="s">
        <v>619</v>
      </c>
      <c r="J117" s="15" t="s">
        <v>25</v>
      </c>
      <c r="K117" s="15" t="s">
        <v>26</v>
      </c>
      <c r="L117" s="18"/>
      <c r="M117" s="19" t="s">
        <v>27</v>
      </c>
      <c r="N117" s="18"/>
      <c r="O117" s="20"/>
      <c r="P117" s="18"/>
    </row>
    <row r="118" ht="26.4" spans="1:16">
      <c r="A118" s="15" t="s">
        <v>620</v>
      </c>
      <c r="B118" s="22" t="s">
        <v>490</v>
      </c>
      <c r="C118" s="17" t="s">
        <v>590</v>
      </c>
      <c r="D118" s="15" t="s">
        <v>19</v>
      </c>
      <c r="E118" s="17" t="s">
        <v>621</v>
      </c>
      <c r="F118" s="17" t="s">
        <v>102</v>
      </c>
      <c r="G118" s="17" t="s">
        <v>622</v>
      </c>
      <c r="H118" s="17" t="s">
        <v>623</v>
      </c>
      <c r="I118" s="17" t="s">
        <v>619</v>
      </c>
      <c r="J118" s="15" t="s">
        <v>25</v>
      </c>
      <c r="K118" s="15" t="s">
        <v>26</v>
      </c>
      <c r="L118" s="18"/>
      <c r="M118" s="19" t="s">
        <v>27</v>
      </c>
      <c r="N118" s="18"/>
      <c r="O118" s="20"/>
      <c r="P118" s="18"/>
    </row>
    <row r="119" ht="26.4" spans="1:16">
      <c r="A119" s="15" t="s">
        <v>624</v>
      </c>
      <c r="B119" s="22" t="s">
        <v>490</v>
      </c>
      <c r="C119" s="17" t="s">
        <v>590</v>
      </c>
      <c r="D119" s="15" t="s">
        <v>187</v>
      </c>
      <c r="E119" s="17" t="s">
        <v>625</v>
      </c>
      <c r="F119" s="17" t="s">
        <v>102</v>
      </c>
      <c r="G119" s="17" t="s">
        <v>626</v>
      </c>
      <c r="H119" s="17" t="s">
        <v>319</v>
      </c>
      <c r="I119" s="17" t="s">
        <v>627</v>
      </c>
      <c r="J119" s="15" t="s">
        <v>25</v>
      </c>
      <c r="K119" s="15" t="s">
        <v>26</v>
      </c>
      <c r="L119" s="18"/>
      <c r="M119" s="19" t="s">
        <v>27</v>
      </c>
      <c r="N119" s="18"/>
      <c r="O119" s="20"/>
      <c r="P119" s="18"/>
    </row>
    <row r="120" ht="26.4" spans="1:16">
      <c r="A120" s="15" t="s">
        <v>628</v>
      </c>
      <c r="B120" s="22" t="s">
        <v>490</v>
      </c>
      <c r="C120" s="17" t="s">
        <v>590</v>
      </c>
      <c r="D120" s="15" t="s">
        <v>35</v>
      </c>
      <c r="E120" s="17" t="s">
        <v>629</v>
      </c>
      <c r="F120" s="17" t="s">
        <v>102</v>
      </c>
      <c r="G120" s="17" t="s">
        <v>630</v>
      </c>
      <c r="H120" s="17" t="s">
        <v>631</v>
      </c>
      <c r="I120" s="17" t="s">
        <v>632</v>
      </c>
      <c r="J120" s="15" t="s">
        <v>41</v>
      </c>
      <c r="K120" s="15" t="s">
        <v>26</v>
      </c>
      <c r="L120" s="18"/>
      <c r="M120" s="19" t="s">
        <v>27</v>
      </c>
      <c r="N120" s="18"/>
      <c r="O120" s="20"/>
      <c r="P120" s="18"/>
    </row>
    <row r="121" ht="26.4" spans="1:16">
      <c r="A121" s="15" t="s">
        <v>633</v>
      </c>
      <c r="B121" s="22" t="s">
        <v>490</v>
      </c>
      <c r="C121" s="17" t="s">
        <v>590</v>
      </c>
      <c r="D121" s="15" t="s">
        <v>35</v>
      </c>
      <c r="E121" s="17" t="s">
        <v>634</v>
      </c>
      <c r="F121" s="17" t="s">
        <v>102</v>
      </c>
      <c r="G121" s="17" t="s">
        <v>635</v>
      </c>
      <c r="H121" s="17" t="s">
        <v>636</v>
      </c>
      <c r="I121" s="17" t="s">
        <v>637</v>
      </c>
      <c r="J121" s="15" t="s">
        <v>41</v>
      </c>
      <c r="K121" s="15" t="s">
        <v>26</v>
      </c>
      <c r="L121" s="18"/>
      <c r="M121" s="19" t="s">
        <v>27</v>
      </c>
      <c r="N121" s="18"/>
      <c r="O121" s="20"/>
      <c r="P121" s="18"/>
    </row>
    <row r="122" ht="26.4" spans="1:16">
      <c r="A122" s="15" t="s">
        <v>638</v>
      </c>
      <c r="B122" s="22" t="s">
        <v>490</v>
      </c>
      <c r="C122" s="17" t="s">
        <v>590</v>
      </c>
      <c r="D122" s="15" t="s">
        <v>19</v>
      </c>
      <c r="E122" s="17" t="s">
        <v>639</v>
      </c>
      <c r="F122" s="17" t="s">
        <v>102</v>
      </c>
      <c r="G122" s="17" t="s">
        <v>640</v>
      </c>
      <c r="H122" s="17" t="s">
        <v>641</v>
      </c>
      <c r="I122" s="17" t="s">
        <v>642</v>
      </c>
      <c r="J122" s="15" t="s">
        <v>41</v>
      </c>
      <c r="K122" s="15" t="s">
        <v>26</v>
      </c>
      <c r="L122" s="18"/>
      <c r="M122" s="19" t="s">
        <v>27</v>
      </c>
      <c r="N122" s="18"/>
      <c r="O122" s="20"/>
      <c r="P122" s="18"/>
    </row>
    <row r="123" ht="39.6" spans="1:16">
      <c r="A123" s="15" t="s">
        <v>643</v>
      </c>
      <c r="B123" s="22" t="s">
        <v>490</v>
      </c>
      <c r="C123" s="17" t="s">
        <v>590</v>
      </c>
      <c r="D123" s="15" t="s">
        <v>35</v>
      </c>
      <c r="E123" s="17" t="s">
        <v>644</v>
      </c>
      <c r="F123" s="17" t="s">
        <v>102</v>
      </c>
      <c r="G123" s="17" t="s">
        <v>645</v>
      </c>
      <c r="H123" s="17" t="s">
        <v>646</v>
      </c>
      <c r="I123" s="17" t="s">
        <v>647</v>
      </c>
      <c r="J123" s="15" t="s">
        <v>41</v>
      </c>
      <c r="K123" s="15" t="s">
        <v>26</v>
      </c>
      <c r="L123" s="18"/>
      <c r="M123" s="19" t="s">
        <v>27</v>
      </c>
      <c r="N123" s="18"/>
      <c r="O123" s="20"/>
      <c r="P123" s="18"/>
    </row>
    <row r="124" ht="26.4" spans="1:16">
      <c r="A124" s="15" t="s">
        <v>648</v>
      </c>
      <c r="B124" s="22" t="s">
        <v>490</v>
      </c>
      <c r="C124" s="17" t="s">
        <v>590</v>
      </c>
      <c r="D124" s="15" t="s">
        <v>66</v>
      </c>
      <c r="E124" s="17" t="s">
        <v>649</v>
      </c>
      <c r="F124" s="17" t="s">
        <v>134</v>
      </c>
      <c r="G124" s="17" t="s">
        <v>650</v>
      </c>
      <c r="H124" s="17" t="s">
        <v>623</v>
      </c>
      <c r="I124" s="17" t="s">
        <v>651</v>
      </c>
      <c r="J124" s="15" t="s">
        <v>25</v>
      </c>
      <c r="K124" s="15" t="s">
        <v>26</v>
      </c>
      <c r="L124" s="18"/>
      <c r="M124" s="19" t="s">
        <v>27</v>
      </c>
      <c r="N124" s="18"/>
      <c r="O124" s="20"/>
      <c r="P124" s="18"/>
    </row>
    <row r="125" ht="26.4" spans="1:16">
      <c r="A125" s="15" t="s">
        <v>652</v>
      </c>
      <c r="B125" s="22" t="s">
        <v>490</v>
      </c>
      <c r="C125" s="17" t="s">
        <v>653</v>
      </c>
      <c r="D125" s="15" t="s">
        <v>19</v>
      </c>
      <c r="E125" s="17" t="s">
        <v>654</v>
      </c>
      <c r="F125" s="17" t="s">
        <v>102</v>
      </c>
      <c r="G125" s="17" t="s">
        <v>655</v>
      </c>
      <c r="H125" s="17" t="s">
        <v>521</v>
      </c>
      <c r="I125" s="17" t="s">
        <v>656</v>
      </c>
      <c r="J125" s="15" t="s">
        <v>41</v>
      </c>
      <c r="K125" s="15" t="s">
        <v>26</v>
      </c>
      <c r="L125" s="18"/>
      <c r="M125" s="19" t="s">
        <v>27</v>
      </c>
      <c r="N125" s="18"/>
      <c r="O125" s="20"/>
      <c r="P125" s="18"/>
    </row>
    <row r="126" ht="26.4" spans="1:16">
      <c r="A126" s="15" t="s">
        <v>657</v>
      </c>
      <c r="B126" s="22" t="s">
        <v>490</v>
      </c>
      <c r="C126" s="17" t="s">
        <v>653</v>
      </c>
      <c r="D126" s="15" t="s">
        <v>19</v>
      </c>
      <c r="E126" s="17" t="s">
        <v>658</v>
      </c>
      <c r="F126" s="17" t="s">
        <v>102</v>
      </c>
      <c r="G126" s="17" t="s">
        <v>659</v>
      </c>
      <c r="H126" s="17" t="s">
        <v>660</v>
      </c>
      <c r="I126" s="17" t="s">
        <v>661</v>
      </c>
      <c r="J126" s="15" t="s">
        <v>41</v>
      </c>
      <c r="K126" s="15" t="s">
        <v>26</v>
      </c>
      <c r="L126" s="18"/>
      <c r="M126" s="19" t="s">
        <v>27</v>
      </c>
      <c r="N126" s="18"/>
      <c r="O126" s="20"/>
      <c r="P126" s="18"/>
    </row>
    <row r="127" spans="1:16">
      <c r="A127" s="15" t="s">
        <v>662</v>
      </c>
      <c r="B127" s="22" t="s">
        <v>490</v>
      </c>
      <c r="C127" s="17" t="s">
        <v>653</v>
      </c>
      <c r="D127" s="15" t="s">
        <v>19</v>
      </c>
      <c r="E127" s="17" t="s">
        <v>663</v>
      </c>
      <c r="F127" s="17" t="s">
        <v>102</v>
      </c>
      <c r="G127" s="17" t="s">
        <v>664</v>
      </c>
      <c r="H127" s="17" t="s">
        <v>665</v>
      </c>
      <c r="I127" s="17" t="s">
        <v>666</v>
      </c>
      <c r="J127" s="15" t="s">
        <v>41</v>
      </c>
      <c r="K127" s="15" t="s">
        <v>26</v>
      </c>
      <c r="L127" s="18"/>
      <c r="M127" s="19" t="s">
        <v>27</v>
      </c>
      <c r="N127" s="18"/>
      <c r="O127" s="20"/>
      <c r="P127" s="18"/>
    </row>
    <row r="128" ht="26.4" spans="1:16">
      <c r="A128" s="15" t="s">
        <v>667</v>
      </c>
      <c r="B128" s="22" t="s">
        <v>490</v>
      </c>
      <c r="C128" s="17" t="s">
        <v>653</v>
      </c>
      <c r="D128" s="15" t="s">
        <v>19</v>
      </c>
      <c r="E128" s="17" t="s">
        <v>668</v>
      </c>
      <c r="F128" s="17" t="s">
        <v>102</v>
      </c>
      <c r="G128" s="17" t="s">
        <v>669</v>
      </c>
      <c r="H128" s="17" t="s">
        <v>453</v>
      </c>
      <c r="I128" s="17" t="s">
        <v>670</v>
      </c>
      <c r="J128" s="15" t="s">
        <v>41</v>
      </c>
      <c r="K128" s="15" t="s">
        <v>26</v>
      </c>
      <c r="L128" s="18"/>
      <c r="M128" s="19" t="s">
        <v>27</v>
      </c>
      <c r="N128" s="18"/>
      <c r="O128" s="20"/>
      <c r="P128" s="18"/>
    </row>
    <row r="129" ht="26.4" spans="1:16">
      <c r="A129" s="15" t="s">
        <v>671</v>
      </c>
      <c r="B129" s="22" t="s">
        <v>490</v>
      </c>
      <c r="C129" s="17" t="s">
        <v>653</v>
      </c>
      <c r="D129" s="15" t="s">
        <v>72</v>
      </c>
      <c r="E129" s="17" t="s">
        <v>672</v>
      </c>
      <c r="F129" s="17" t="s">
        <v>102</v>
      </c>
      <c r="G129" s="17" t="s">
        <v>673</v>
      </c>
      <c r="H129" s="17" t="s">
        <v>674</v>
      </c>
      <c r="I129" s="17" t="s">
        <v>675</v>
      </c>
      <c r="J129" s="15" t="s">
        <v>41</v>
      </c>
      <c r="K129" s="15" t="s">
        <v>26</v>
      </c>
      <c r="L129" s="18"/>
      <c r="M129" s="19" t="s">
        <v>27</v>
      </c>
      <c r="N129" s="18"/>
      <c r="O129" s="20"/>
      <c r="P129" s="18"/>
    </row>
    <row r="130" ht="39.6" spans="1:16">
      <c r="A130" s="15" t="s">
        <v>676</v>
      </c>
      <c r="B130" s="23" t="s">
        <v>677</v>
      </c>
      <c r="C130" s="17" t="s">
        <v>678</v>
      </c>
      <c r="D130" s="15" t="s">
        <v>19</v>
      </c>
      <c r="E130" s="17" t="s">
        <v>679</v>
      </c>
      <c r="F130" s="17" t="s">
        <v>102</v>
      </c>
      <c r="G130" s="17" t="s">
        <v>680</v>
      </c>
      <c r="H130" s="17" t="s">
        <v>681</v>
      </c>
      <c r="I130" s="17" t="s">
        <v>207</v>
      </c>
      <c r="J130" s="15" t="s">
        <v>25</v>
      </c>
      <c r="K130" s="15" t="s">
        <v>26</v>
      </c>
      <c r="L130" s="18"/>
      <c r="M130" s="19" t="s">
        <v>27</v>
      </c>
      <c r="N130" s="18"/>
      <c r="O130" s="20"/>
      <c r="P130" s="18"/>
    </row>
    <row r="131" ht="26.4" spans="1:16">
      <c r="A131" s="15" t="s">
        <v>682</v>
      </c>
      <c r="B131" s="23" t="s">
        <v>677</v>
      </c>
      <c r="C131" s="17" t="s">
        <v>678</v>
      </c>
      <c r="D131" s="15" t="s">
        <v>35</v>
      </c>
      <c r="E131" s="17" t="s">
        <v>683</v>
      </c>
      <c r="F131" s="17" t="s">
        <v>102</v>
      </c>
      <c r="G131" s="17" t="s">
        <v>174</v>
      </c>
      <c r="H131" s="17" t="s">
        <v>684</v>
      </c>
      <c r="I131" s="17" t="s">
        <v>498</v>
      </c>
      <c r="J131" s="15" t="s">
        <v>41</v>
      </c>
      <c r="K131" s="15" t="s">
        <v>26</v>
      </c>
      <c r="L131" s="18"/>
      <c r="M131" s="19" t="s">
        <v>27</v>
      </c>
      <c r="N131" s="18"/>
      <c r="O131" s="20"/>
      <c r="P131" s="18"/>
    </row>
    <row r="132" ht="26.4" spans="1:16">
      <c r="A132" s="15" t="s">
        <v>685</v>
      </c>
      <c r="B132" s="23" t="s">
        <v>677</v>
      </c>
      <c r="C132" s="17" t="s">
        <v>678</v>
      </c>
      <c r="D132" s="15" t="s">
        <v>35</v>
      </c>
      <c r="E132" s="17" t="s">
        <v>686</v>
      </c>
      <c r="F132" s="17" t="s">
        <v>102</v>
      </c>
      <c r="G132" s="17" t="s">
        <v>687</v>
      </c>
      <c r="H132" s="17" t="s">
        <v>688</v>
      </c>
      <c r="I132" s="17" t="s">
        <v>508</v>
      </c>
      <c r="J132" s="15" t="s">
        <v>41</v>
      </c>
      <c r="K132" s="15" t="s">
        <v>26</v>
      </c>
      <c r="L132" s="18"/>
      <c r="M132" s="19" t="s">
        <v>27</v>
      </c>
      <c r="N132" s="18"/>
      <c r="O132" s="20"/>
      <c r="P132" s="18"/>
    </row>
    <row r="133" ht="26.4" spans="1:16">
      <c r="A133" s="15" t="s">
        <v>689</v>
      </c>
      <c r="B133" s="23" t="s">
        <v>677</v>
      </c>
      <c r="C133" s="17" t="s">
        <v>678</v>
      </c>
      <c r="D133" s="15" t="s">
        <v>19</v>
      </c>
      <c r="E133" s="17" t="s">
        <v>690</v>
      </c>
      <c r="F133" s="17" t="s">
        <v>102</v>
      </c>
      <c r="G133" s="17" t="s">
        <v>691</v>
      </c>
      <c r="H133" s="17" t="s">
        <v>692</v>
      </c>
      <c r="I133" s="17" t="s">
        <v>185</v>
      </c>
      <c r="J133" s="15" t="s">
        <v>41</v>
      </c>
      <c r="K133" s="15" t="s">
        <v>26</v>
      </c>
      <c r="L133" s="18"/>
      <c r="M133" s="19" t="s">
        <v>27</v>
      </c>
      <c r="N133" s="18"/>
      <c r="O133" s="20"/>
      <c r="P133" s="18"/>
    </row>
    <row r="134" ht="26.4" spans="1:16">
      <c r="A134" s="15" t="s">
        <v>693</v>
      </c>
      <c r="B134" s="23" t="s">
        <v>677</v>
      </c>
      <c r="C134" s="17" t="s">
        <v>678</v>
      </c>
      <c r="D134" s="15" t="s">
        <v>187</v>
      </c>
      <c r="E134" s="17" t="s">
        <v>694</v>
      </c>
      <c r="F134" s="17" t="s">
        <v>102</v>
      </c>
      <c r="G134" s="17" t="s">
        <v>695</v>
      </c>
      <c r="H134" s="17" t="s">
        <v>696</v>
      </c>
      <c r="I134" s="17" t="s">
        <v>697</v>
      </c>
      <c r="J134" s="15" t="s">
        <v>25</v>
      </c>
      <c r="K134" s="15" t="s">
        <v>26</v>
      </c>
      <c r="L134" s="18"/>
      <c r="M134" s="19" t="s">
        <v>27</v>
      </c>
      <c r="N134" s="18"/>
      <c r="O134" s="20"/>
      <c r="P134" s="18"/>
    </row>
    <row r="135" ht="39.6" spans="1:16">
      <c r="A135" s="15" t="s">
        <v>698</v>
      </c>
      <c r="B135" s="23" t="s">
        <v>677</v>
      </c>
      <c r="C135" s="17" t="s">
        <v>699</v>
      </c>
      <c r="D135" s="15" t="s">
        <v>19</v>
      </c>
      <c r="E135" s="17" t="s">
        <v>700</v>
      </c>
      <c r="F135" s="17" t="s">
        <v>102</v>
      </c>
      <c r="G135" s="17" t="s">
        <v>701</v>
      </c>
      <c r="H135" s="17" t="s">
        <v>702</v>
      </c>
      <c r="I135" s="17" t="s">
        <v>703</v>
      </c>
      <c r="J135" s="15" t="s">
        <v>25</v>
      </c>
      <c r="K135" s="15" t="s">
        <v>26</v>
      </c>
      <c r="L135" s="18"/>
      <c r="M135" s="19" t="s">
        <v>27</v>
      </c>
      <c r="N135" s="18"/>
      <c r="O135" s="20"/>
      <c r="P135" s="18"/>
    </row>
    <row r="136" ht="26.4" spans="1:16">
      <c r="A136" s="15" t="s">
        <v>704</v>
      </c>
      <c r="B136" s="23" t="s">
        <v>677</v>
      </c>
      <c r="C136" s="17" t="s">
        <v>699</v>
      </c>
      <c r="D136" s="15" t="s">
        <v>66</v>
      </c>
      <c r="E136" s="17" t="s">
        <v>705</v>
      </c>
      <c r="F136" s="17" t="s">
        <v>102</v>
      </c>
      <c r="G136" s="17" t="s">
        <v>706</v>
      </c>
      <c r="H136" s="17" t="s">
        <v>707</v>
      </c>
      <c r="I136" s="17" t="s">
        <v>708</v>
      </c>
      <c r="J136" s="15" t="s">
        <v>25</v>
      </c>
      <c r="K136" s="15" t="s">
        <v>26</v>
      </c>
      <c r="L136" s="18"/>
      <c r="M136" s="19" t="s">
        <v>27</v>
      </c>
      <c r="N136" s="18"/>
      <c r="O136" s="20"/>
      <c r="P136" s="18"/>
    </row>
    <row r="137" spans="1:16">
      <c r="A137" s="15" t="s">
        <v>709</v>
      </c>
      <c r="B137" s="23" t="s">
        <v>677</v>
      </c>
      <c r="C137" s="17" t="s">
        <v>699</v>
      </c>
      <c r="D137" s="15" t="s">
        <v>66</v>
      </c>
      <c r="E137" s="17" t="s">
        <v>710</v>
      </c>
      <c r="F137" s="17" t="s">
        <v>102</v>
      </c>
      <c r="G137" s="17" t="s">
        <v>711</v>
      </c>
      <c r="H137" s="17" t="s">
        <v>254</v>
      </c>
      <c r="I137" s="17" t="s">
        <v>708</v>
      </c>
      <c r="J137" s="15" t="s">
        <v>25</v>
      </c>
      <c r="K137" s="15" t="s">
        <v>26</v>
      </c>
      <c r="L137" s="18"/>
      <c r="M137" s="19" t="s">
        <v>27</v>
      </c>
      <c r="N137" s="18"/>
      <c r="O137" s="20"/>
      <c r="P137" s="18"/>
    </row>
    <row r="138" ht="26.4" spans="1:16">
      <c r="A138" s="15" t="s">
        <v>712</v>
      </c>
      <c r="B138" s="23" t="s">
        <v>677</v>
      </c>
      <c r="C138" s="17" t="s">
        <v>699</v>
      </c>
      <c r="D138" s="15" t="s">
        <v>35</v>
      </c>
      <c r="E138" s="17" t="s">
        <v>713</v>
      </c>
      <c r="F138" s="17" t="s">
        <v>102</v>
      </c>
      <c r="G138" s="17" t="s">
        <v>714</v>
      </c>
      <c r="H138" s="17" t="s">
        <v>715</v>
      </c>
      <c r="I138" s="17" t="s">
        <v>300</v>
      </c>
      <c r="J138" s="15" t="s">
        <v>41</v>
      </c>
      <c r="K138" s="15" t="s">
        <v>26</v>
      </c>
      <c r="L138" s="18"/>
      <c r="M138" s="19" t="s">
        <v>27</v>
      </c>
      <c r="N138" s="18"/>
      <c r="O138" s="20"/>
      <c r="P138" s="18"/>
    </row>
    <row r="139" spans="1:16">
      <c r="A139" s="15" t="s">
        <v>716</v>
      </c>
      <c r="B139" s="23" t="s">
        <v>677</v>
      </c>
      <c r="C139" s="17" t="s">
        <v>717</v>
      </c>
      <c r="D139" s="15" t="s">
        <v>19</v>
      </c>
      <c r="E139" s="17" t="s">
        <v>718</v>
      </c>
      <c r="F139" s="17" t="s">
        <v>102</v>
      </c>
      <c r="G139" s="17" t="s">
        <v>719</v>
      </c>
      <c r="H139" s="17" t="s">
        <v>720</v>
      </c>
      <c r="I139" s="17" t="s">
        <v>721</v>
      </c>
      <c r="J139" s="15" t="s">
        <v>25</v>
      </c>
      <c r="K139" s="15" t="s">
        <v>26</v>
      </c>
      <c r="L139" s="18"/>
      <c r="M139" s="19" t="s">
        <v>27</v>
      </c>
      <c r="N139" s="18"/>
      <c r="O139" s="20"/>
      <c r="P139" s="18"/>
    </row>
    <row r="140" spans="1:16">
      <c r="A140" s="15" t="s">
        <v>722</v>
      </c>
      <c r="B140" s="23" t="s">
        <v>677</v>
      </c>
      <c r="C140" s="17" t="s">
        <v>717</v>
      </c>
      <c r="D140" s="15" t="s">
        <v>72</v>
      </c>
      <c r="E140" s="17" t="s">
        <v>723</v>
      </c>
      <c r="F140" s="17" t="s">
        <v>102</v>
      </c>
      <c r="G140" s="17" t="s">
        <v>724</v>
      </c>
      <c r="H140" s="17" t="s">
        <v>725</v>
      </c>
      <c r="I140" s="17" t="s">
        <v>726</v>
      </c>
      <c r="J140" s="15" t="s">
        <v>41</v>
      </c>
      <c r="K140" s="15" t="s">
        <v>26</v>
      </c>
      <c r="L140" s="18"/>
      <c r="M140" s="19" t="s">
        <v>27</v>
      </c>
      <c r="N140" s="18"/>
      <c r="O140" s="20"/>
      <c r="P140" s="18"/>
    </row>
    <row r="141" spans="1:16">
      <c r="A141" s="15" t="s">
        <v>727</v>
      </c>
      <c r="B141" s="23" t="s">
        <v>677</v>
      </c>
      <c r="C141" s="17" t="s">
        <v>717</v>
      </c>
      <c r="D141" s="15" t="s">
        <v>72</v>
      </c>
      <c r="E141" s="17" t="s">
        <v>728</v>
      </c>
      <c r="F141" s="17" t="s">
        <v>102</v>
      </c>
      <c r="G141" s="17" t="s">
        <v>729</v>
      </c>
      <c r="H141" s="17" t="s">
        <v>730</v>
      </c>
      <c r="I141" s="17" t="s">
        <v>731</v>
      </c>
      <c r="J141" s="15" t="s">
        <v>25</v>
      </c>
      <c r="K141" s="15" t="s">
        <v>26</v>
      </c>
      <c r="L141" s="18"/>
      <c r="M141" s="19" t="s">
        <v>27</v>
      </c>
      <c r="N141" s="18"/>
      <c r="O141" s="20"/>
      <c r="P141" s="18"/>
    </row>
    <row r="142" spans="1:16">
      <c r="A142" s="15" t="s">
        <v>732</v>
      </c>
      <c r="B142" s="23" t="s">
        <v>677</v>
      </c>
      <c r="C142" s="17" t="s">
        <v>717</v>
      </c>
      <c r="D142" s="15" t="s">
        <v>35</v>
      </c>
      <c r="E142" s="17" t="s">
        <v>733</v>
      </c>
      <c r="F142" s="17" t="s">
        <v>102</v>
      </c>
      <c r="G142" s="17" t="s">
        <v>734</v>
      </c>
      <c r="H142" s="17" t="s">
        <v>735</v>
      </c>
      <c r="I142" s="17" t="s">
        <v>736</v>
      </c>
      <c r="J142" s="15" t="s">
        <v>41</v>
      </c>
      <c r="K142" s="15" t="s">
        <v>26</v>
      </c>
      <c r="L142" s="18"/>
      <c r="M142" s="19" t="s">
        <v>27</v>
      </c>
      <c r="N142" s="18"/>
      <c r="O142" s="20"/>
      <c r="P142" s="18"/>
    </row>
    <row r="143" ht="26.4" spans="1:16">
      <c r="A143" s="15" t="s">
        <v>737</v>
      </c>
      <c r="B143" s="23" t="s">
        <v>677</v>
      </c>
      <c r="C143" s="17" t="s">
        <v>717</v>
      </c>
      <c r="D143" s="15" t="s">
        <v>35</v>
      </c>
      <c r="E143" s="17" t="s">
        <v>738</v>
      </c>
      <c r="F143" s="17" t="s">
        <v>102</v>
      </c>
      <c r="G143" s="17" t="s">
        <v>551</v>
      </c>
      <c r="H143" s="17" t="s">
        <v>739</v>
      </c>
      <c r="I143" s="17" t="s">
        <v>553</v>
      </c>
      <c r="J143" s="15" t="s">
        <v>25</v>
      </c>
      <c r="K143" s="15" t="s">
        <v>26</v>
      </c>
      <c r="L143" s="18"/>
      <c r="M143" s="19" t="s">
        <v>27</v>
      </c>
      <c r="N143" s="18"/>
      <c r="O143" s="20"/>
      <c r="P143" s="18"/>
    </row>
    <row r="144" ht="26.4" spans="1:16">
      <c r="A144" s="15" t="s">
        <v>740</v>
      </c>
      <c r="B144" s="23" t="s">
        <v>677</v>
      </c>
      <c r="C144" s="17" t="s">
        <v>717</v>
      </c>
      <c r="D144" s="15" t="s">
        <v>35</v>
      </c>
      <c r="E144" s="17" t="s">
        <v>741</v>
      </c>
      <c r="F144" s="17" t="s">
        <v>102</v>
      </c>
      <c r="G144" s="17" t="s">
        <v>742</v>
      </c>
      <c r="H144" s="17" t="s">
        <v>743</v>
      </c>
      <c r="I144" s="17" t="s">
        <v>553</v>
      </c>
      <c r="J144" s="15" t="s">
        <v>25</v>
      </c>
      <c r="K144" s="15" t="s">
        <v>26</v>
      </c>
      <c r="L144" s="18"/>
      <c r="M144" s="19" t="s">
        <v>27</v>
      </c>
      <c r="N144" s="18"/>
      <c r="O144" s="20"/>
      <c r="P144" s="18"/>
    </row>
    <row r="145" ht="26.4" spans="1:16">
      <c r="A145" s="15" t="s">
        <v>744</v>
      </c>
      <c r="B145" s="23" t="s">
        <v>677</v>
      </c>
      <c r="C145" s="17" t="s">
        <v>717</v>
      </c>
      <c r="D145" s="15" t="s">
        <v>187</v>
      </c>
      <c r="E145" s="17" t="s">
        <v>745</v>
      </c>
      <c r="F145" s="17" t="s">
        <v>102</v>
      </c>
      <c r="G145" s="17" t="s">
        <v>746</v>
      </c>
      <c r="H145" s="17" t="s">
        <v>747</v>
      </c>
      <c r="I145" s="17" t="s">
        <v>748</v>
      </c>
      <c r="J145" s="15" t="s">
        <v>25</v>
      </c>
      <c r="K145" s="15" t="s">
        <v>26</v>
      </c>
      <c r="L145" s="18"/>
      <c r="M145" s="19" t="s">
        <v>27</v>
      </c>
      <c r="N145" s="18"/>
      <c r="O145" s="20"/>
      <c r="P145" s="18"/>
    </row>
    <row r="146" ht="26.4" spans="1:16">
      <c r="A146" s="15" t="s">
        <v>749</v>
      </c>
      <c r="B146" s="23" t="s">
        <v>677</v>
      </c>
      <c r="C146" s="17" t="s">
        <v>717</v>
      </c>
      <c r="D146" s="15" t="s">
        <v>187</v>
      </c>
      <c r="E146" s="17" t="s">
        <v>750</v>
      </c>
      <c r="F146" s="17" t="s">
        <v>102</v>
      </c>
      <c r="G146" s="17" t="s">
        <v>751</v>
      </c>
      <c r="H146" s="17" t="s">
        <v>752</v>
      </c>
      <c r="I146" s="17" t="s">
        <v>753</v>
      </c>
      <c r="J146" s="15" t="s">
        <v>25</v>
      </c>
      <c r="K146" s="15" t="s">
        <v>26</v>
      </c>
      <c r="L146" s="18"/>
      <c r="M146" s="19" t="s">
        <v>27</v>
      </c>
      <c r="N146" s="18"/>
      <c r="O146" s="20"/>
      <c r="P146" s="18"/>
    </row>
    <row r="147" ht="39.6" spans="1:16">
      <c r="A147" s="15" t="s">
        <v>754</v>
      </c>
      <c r="B147" s="23" t="s">
        <v>677</v>
      </c>
      <c r="C147" s="17" t="s">
        <v>717</v>
      </c>
      <c r="D147" s="15" t="s">
        <v>187</v>
      </c>
      <c r="E147" s="17" t="s">
        <v>755</v>
      </c>
      <c r="F147" s="17" t="s">
        <v>102</v>
      </c>
      <c r="G147" s="17" t="s">
        <v>756</v>
      </c>
      <c r="H147" s="17" t="s">
        <v>757</v>
      </c>
      <c r="I147" s="17" t="s">
        <v>758</v>
      </c>
      <c r="J147" s="15" t="s">
        <v>25</v>
      </c>
      <c r="K147" s="15" t="s">
        <v>26</v>
      </c>
      <c r="L147" s="18"/>
      <c r="M147" s="19" t="s">
        <v>27</v>
      </c>
      <c r="N147" s="18"/>
      <c r="O147" s="20"/>
      <c r="P147" s="18"/>
    </row>
    <row r="148" ht="26.4" spans="1:16">
      <c r="A148" s="15" t="s">
        <v>759</v>
      </c>
      <c r="B148" s="23" t="s">
        <v>677</v>
      </c>
      <c r="C148" s="17" t="s">
        <v>760</v>
      </c>
      <c r="D148" s="15" t="s">
        <v>187</v>
      </c>
      <c r="E148" s="17" t="s">
        <v>761</v>
      </c>
      <c r="F148" s="17" t="s">
        <v>102</v>
      </c>
      <c r="G148" s="17" t="s">
        <v>762</v>
      </c>
      <c r="H148" s="17" t="s">
        <v>763</v>
      </c>
      <c r="I148" s="17" t="s">
        <v>764</v>
      </c>
      <c r="J148" s="15" t="s">
        <v>25</v>
      </c>
      <c r="K148" s="15" t="s">
        <v>26</v>
      </c>
      <c r="L148" s="18"/>
      <c r="M148" s="19" t="s">
        <v>27</v>
      </c>
      <c r="N148" s="18"/>
      <c r="O148" s="20"/>
      <c r="P148" s="18"/>
    </row>
    <row r="149" ht="39.6" spans="1:16">
      <c r="A149" s="15" t="s">
        <v>765</v>
      </c>
      <c r="B149" s="23" t="s">
        <v>677</v>
      </c>
      <c r="C149" s="17" t="s">
        <v>760</v>
      </c>
      <c r="D149" s="15" t="s">
        <v>187</v>
      </c>
      <c r="E149" s="17" t="s">
        <v>766</v>
      </c>
      <c r="F149" s="17" t="s">
        <v>102</v>
      </c>
      <c r="G149" s="17" t="s">
        <v>767</v>
      </c>
      <c r="H149" s="17" t="s">
        <v>763</v>
      </c>
      <c r="I149" s="17" t="s">
        <v>768</v>
      </c>
      <c r="J149" s="15" t="s">
        <v>25</v>
      </c>
      <c r="K149" s="15" t="s">
        <v>26</v>
      </c>
      <c r="L149" s="18"/>
      <c r="M149" s="19" t="s">
        <v>27</v>
      </c>
      <c r="N149" s="18"/>
      <c r="O149" s="20"/>
      <c r="P149" s="18"/>
    </row>
    <row r="150" ht="26.4" spans="1:16">
      <c r="A150" s="15" t="s">
        <v>769</v>
      </c>
      <c r="B150" s="23" t="s">
        <v>677</v>
      </c>
      <c r="C150" s="17" t="s">
        <v>760</v>
      </c>
      <c r="D150" s="15" t="s">
        <v>187</v>
      </c>
      <c r="E150" s="17" t="s">
        <v>770</v>
      </c>
      <c r="F150" s="17" t="s">
        <v>102</v>
      </c>
      <c r="G150" s="17" t="s">
        <v>771</v>
      </c>
      <c r="H150" s="17" t="s">
        <v>613</v>
      </c>
      <c r="I150" s="17" t="s">
        <v>772</v>
      </c>
      <c r="J150" s="15" t="s">
        <v>25</v>
      </c>
      <c r="K150" s="15" t="s">
        <v>26</v>
      </c>
      <c r="L150" s="18"/>
      <c r="M150" s="19" t="s">
        <v>27</v>
      </c>
      <c r="N150" s="18"/>
      <c r="O150" s="20"/>
      <c r="P150" s="18"/>
    </row>
    <row r="151" ht="26.4" spans="1:16">
      <c r="A151" s="15" t="s">
        <v>773</v>
      </c>
      <c r="B151" s="23" t="s">
        <v>677</v>
      </c>
      <c r="C151" s="17" t="s">
        <v>760</v>
      </c>
      <c r="D151" s="15" t="s">
        <v>35</v>
      </c>
      <c r="E151" s="17" t="s">
        <v>774</v>
      </c>
      <c r="F151" s="17" t="s">
        <v>102</v>
      </c>
      <c r="G151" s="17" t="s">
        <v>602</v>
      </c>
      <c r="H151" s="17" t="s">
        <v>775</v>
      </c>
      <c r="I151" s="17" t="s">
        <v>776</v>
      </c>
      <c r="J151" s="15" t="s">
        <v>41</v>
      </c>
      <c r="K151" s="15" t="s">
        <v>26</v>
      </c>
      <c r="L151" s="18"/>
      <c r="M151" s="19" t="s">
        <v>27</v>
      </c>
      <c r="N151" s="18"/>
      <c r="O151" s="20"/>
      <c r="P151" s="18"/>
    </row>
    <row r="152" ht="26.4" spans="1:16">
      <c r="A152" s="15" t="s">
        <v>777</v>
      </c>
      <c r="B152" s="23" t="s">
        <v>677</v>
      </c>
      <c r="C152" s="17" t="s">
        <v>760</v>
      </c>
      <c r="D152" s="15" t="s">
        <v>19</v>
      </c>
      <c r="E152" s="17" t="s">
        <v>778</v>
      </c>
      <c r="F152" s="17" t="s">
        <v>102</v>
      </c>
      <c r="G152" s="17" t="s">
        <v>779</v>
      </c>
      <c r="H152" s="17" t="s">
        <v>780</v>
      </c>
      <c r="I152" s="17" t="s">
        <v>781</v>
      </c>
      <c r="J152" s="15" t="s">
        <v>25</v>
      </c>
      <c r="K152" s="15" t="s">
        <v>26</v>
      </c>
      <c r="L152" s="18"/>
      <c r="M152" s="19" t="s">
        <v>27</v>
      </c>
      <c r="N152" s="18"/>
      <c r="O152" s="20"/>
      <c r="P152" s="18"/>
    </row>
    <row r="153" ht="26.4" spans="1:16">
      <c r="A153" s="15" t="s">
        <v>782</v>
      </c>
      <c r="B153" s="23" t="s">
        <v>677</v>
      </c>
      <c r="C153" s="17" t="s">
        <v>760</v>
      </c>
      <c r="D153" s="15" t="s">
        <v>35</v>
      </c>
      <c r="E153" s="17" t="s">
        <v>783</v>
      </c>
      <c r="F153" s="17" t="s">
        <v>102</v>
      </c>
      <c r="G153" s="17" t="s">
        <v>784</v>
      </c>
      <c r="H153" s="17" t="s">
        <v>636</v>
      </c>
      <c r="I153" s="17" t="s">
        <v>785</v>
      </c>
      <c r="J153" s="15" t="s">
        <v>41</v>
      </c>
      <c r="K153" s="15" t="s">
        <v>26</v>
      </c>
      <c r="L153" s="18"/>
      <c r="M153" s="19" t="s">
        <v>27</v>
      </c>
      <c r="N153" s="18"/>
      <c r="O153" s="20"/>
      <c r="P153" s="18"/>
    </row>
    <row r="154" ht="26.4" spans="1:16">
      <c r="A154" s="15" t="s">
        <v>786</v>
      </c>
      <c r="B154" s="23" t="s">
        <v>677</v>
      </c>
      <c r="C154" s="17" t="s">
        <v>760</v>
      </c>
      <c r="D154" s="15" t="s">
        <v>35</v>
      </c>
      <c r="E154" s="17" t="s">
        <v>787</v>
      </c>
      <c r="F154" s="17" t="s">
        <v>102</v>
      </c>
      <c r="G154" s="17" t="s">
        <v>788</v>
      </c>
      <c r="H154" s="17" t="s">
        <v>631</v>
      </c>
      <c r="I154" s="17" t="s">
        <v>789</v>
      </c>
      <c r="J154" s="15" t="s">
        <v>41</v>
      </c>
      <c r="K154" s="15" t="s">
        <v>26</v>
      </c>
      <c r="L154" s="18"/>
      <c r="M154" s="19" t="s">
        <v>27</v>
      </c>
      <c r="N154" s="18"/>
      <c r="O154" s="20"/>
      <c r="P154" s="18"/>
    </row>
    <row r="155" ht="26.4" spans="1:16">
      <c r="A155" s="15" t="s">
        <v>790</v>
      </c>
      <c r="B155" s="23" t="s">
        <v>677</v>
      </c>
      <c r="C155" s="17" t="s">
        <v>760</v>
      </c>
      <c r="D155" s="15" t="s">
        <v>35</v>
      </c>
      <c r="E155" s="17" t="s">
        <v>791</v>
      </c>
      <c r="F155" s="17" t="s">
        <v>102</v>
      </c>
      <c r="G155" s="17" t="s">
        <v>792</v>
      </c>
      <c r="H155" s="17" t="s">
        <v>636</v>
      </c>
      <c r="I155" s="17" t="s">
        <v>776</v>
      </c>
      <c r="J155" s="15" t="s">
        <v>41</v>
      </c>
      <c r="K155" s="15" t="s">
        <v>26</v>
      </c>
      <c r="L155" s="18"/>
      <c r="M155" s="19" t="s">
        <v>27</v>
      </c>
      <c r="N155" s="18"/>
      <c r="O155" s="20"/>
      <c r="P155" s="18"/>
    </row>
    <row r="156" ht="26.4" spans="1:16">
      <c r="A156" s="15" t="s">
        <v>793</v>
      </c>
      <c r="B156" s="23" t="s">
        <v>677</v>
      </c>
      <c r="C156" s="17" t="s">
        <v>760</v>
      </c>
      <c r="D156" s="15" t="s">
        <v>19</v>
      </c>
      <c r="E156" s="17" t="s">
        <v>794</v>
      </c>
      <c r="F156" s="17" t="s">
        <v>102</v>
      </c>
      <c r="G156" s="17" t="s">
        <v>795</v>
      </c>
      <c r="H156" s="17" t="s">
        <v>618</v>
      </c>
      <c r="I156" s="17" t="s">
        <v>796</v>
      </c>
      <c r="J156" s="15" t="s">
        <v>41</v>
      </c>
      <c r="K156" s="15" t="s">
        <v>26</v>
      </c>
      <c r="L156" s="18"/>
      <c r="M156" s="19" t="s">
        <v>27</v>
      </c>
      <c r="N156" s="18"/>
      <c r="O156" s="20"/>
      <c r="P156" s="18"/>
    </row>
    <row r="157" ht="26.4" spans="1:16">
      <c r="A157" s="15" t="s">
        <v>797</v>
      </c>
      <c r="B157" s="23" t="s">
        <v>677</v>
      </c>
      <c r="C157" s="17" t="s">
        <v>760</v>
      </c>
      <c r="D157" s="15" t="s">
        <v>66</v>
      </c>
      <c r="E157" s="17" t="s">
        <v>798</v>
      </c>
      <c r="F157" s="17" t="s">
        <v>134</v>
      </c>
      <c r="G157" s="17" t="s">
        <v>799</v>
      </c>
      <c r="H157" s="17" t="s">
        <v>702</v>
      </c>
      <c r="I157" s="17" t="s">
        <v>800</v>
      </c>
      <c r="J157" s="15" t="s">
        <v>25</v>
      </c>
      <c r="K157" s="15" t="s">
        <v>26</v>
      </c>
      <c r="L157" s="18"/>
      <c r="M157" s="19" t="s">
        <v>27</v>
      </c>
      <c r="N157" s="18"/>
      <c r="O157" s="20"/>
      <c r="P157" s="18"/>
    </row>
    <row r="158" ht="26.4" spans="1:16">
      <c r="A158" s="15" t="s">
        <v>801</v>
      </c>
      <c r="B158" s="23" t="s">
        <v>677</v>
      </c>
      <c r="C158" s="17" t="s">
        <v>760</v>
      </c>
      <c r="D158" s="15" t="s">
        <v>66</v>
      </c>
      <c r="E158" s="17" t="s">
        <v>802</v>
      </c>
      <c r="F158" s="17" t="s">
        <v>134</v>
      </c>
      <c r="G158" s="17" t="s">
        <v>803</v>
      </c>
      <c r="H158" s="17" t="s">
        <v>623</v>
      </c>
      <c r="I158" s="17" t="s">
        <v>804</v>
      </c>
      <c r="J158" s="15" t="s">
        <v>25</v>
      </c>
      <c r="K158" s="15" t="s">
        <v>26</v>
      </c>
      <c r="L158" s="18"/>
      <c r="M158" s="19" t="s">
        <v>27</v>
      </c>
      <c r="N158" s="18"/>
      <c r="O158" s="20"/>
      <c r="P158" s="18"/>
    </row>
    <row r="159" ht="26.4" spans="1:16">
      <c r="A159" s="15" t="s">
        <v>805</v>
      </c>
      <c r="B159" s="23" t="s">
        <v>677</v>
      </c>
      <c r="C159" s="17" t="s">
        <v>806</v>
      </c>
      <c r="D159" s="15" t="s">
        <v>19</v>
      </c>
      <c r="E159" s="17" t="s">
        <v>807</v>
      </c>
      <c r="F159" s="17" t="s">
        <v>102</v>
      </c>
      <c r="G159" s="17" t="s">
        <v>808</v>
      </c>
      <c r="H159" s="17" t="s">
        <v>809</v>
      </c>
      <c r="I159" s="17" t="s">
        <v>656</v>
      </c>
      <c r="J159" s="15" t="s">
        <v>41</v>
      </c>
      <c r="K159" s="15" t="s">
        <v>26</v>
      </c>
      <c r="L159" s="18"/>
      <c r="M159" s="19" t="s">
        <v>27</v>
      </c>
      <c r="N159" s="18"/>
      <c r="O159" s="20"/>
      <c r="P159" s="18"/>
    </row>
    <row r="160" ht="26.4" spans="1:16">
      <c r="A160" s="15" t="s">
        <v>810</v>
      </c>
      <c r="B160" s="23" t="s">
        <v>677</v>
      </c>
      <c r="C160" s="17" t="s">
        <v>806</v>
      </c>
      <c r="D160" s="15" t="s">
        <v>19</v>
      </c>
      <c r="E160" s="17" t="s">
        <v>811</v>
      </c>
      <c r="F160" s="17" t="s">
        <v>102</v>
      </c>
      <c r="G160" s="17" t="s">
        <v>812</v>
      </c>
      <c r="H160" s="17" t="s">
        <v>813</v>
      </c>
      <c r="I160" s="17" t="s">
        <v>814</v>
      </c>
      <c r="J160" s="15" t="s">
        <v>41</v>
      </c>
      <c r="K160" s="15" t="s">
        <v>26</v>
      </c>
      <c r="L160" s="18"/>
      <c r="M160" s="19" t="s">
        <v>27</v>
      </c>
      <c r="N160" s="18"/>
      <c r="O160" s="20"/>
      <c r="P160" s="18"/>
    </row>
    <row r="161" ht="26.4" spans="1:16">
      <c r="A161" s="15" t="s">
        <v>815</v>
      </c>
      <c r="B161" s="23" t="s">
        <v>677</v>
      </c>
      <c r="C161" s="17" t="s">
        <v>806</v>
      </c>
      <c r="D161" s="15" t="s">
        <v>19</v>
      </c>
      <c r="E161" s="17" t="s">
        <v>816</v>
      </c>
      <c r="F161" s="17" t="s">
        <v>102</v>
      </c>
      <c r="G161" s="17" t="s">
        <v>817</v>
      </c>
      <c r="H161" s="17" t="s">
        <v>818</v>
      </c>
      <c r="I161" s="17" t="s">
        <v>819</v>
      </c>
      <c r="J161" s="15" t="s">
        <v>41</v>
      </c>
      <c r="K161" s="15" t="s">
        <v>26</v>
      </c>
      <c r="L161" s="18"/>
      <c r="M161" s="19" t="s">
        <v>27</v>
      </c>
      <c r="N161" s="18"/>
      <c r="O161" s="20"/>
      <c r="P161" s="18"/>
    </row>
    <row r="162" ht="26.4" spans="1:16">
      <c r="A162" s="15" t="s">
        <v>820</v>
      </c>
      <c r="B162" s="18" t="s">
        <v>821</v>
      </c>
      <c r="C162" s="17" t="s">
        <v>822</v>
      </c>
      <c r="D162" s="15" t="s">
        <v>187</v>
      </c>
      <c r="E162" s="17" t="s">
        <v>823</v>
      </c>
      <c r="F162" s="17" t="s">
        <v>102</v>
      </c>
      <c r="G162" s="17" t="s">
        <v>824</v>
      </c>
      <c r="H162" s="17" t="s">
        <v>825</v>
      </c>
      <c r="I162" s="17" t="s">
        <v>826</v>
      </c>
      <c r="J162" s="15" t="s">
        <v>25</v>
      </c>
      <c r="K162" s="15" t="s">
        <v>26</v>
      </c>
      <c r="L162" s="18"/>
      <c r="M162" s="19" t="s">
        <v>27</v>
      </c>
      <c r="N162" s="18"/>
      <c r="O162" s="20"/>
      <c r="P162" s="18"/>
    </row>
    <row r="163" ht="26.4" spans="1:16">
      <c r="A163" s="15" t="s">
        <v>827</v>
      </c>
      <c r="B163" s="18" t="s">
        <v>821</v>
      </c>
      <c r="C163" s="17" t="s">
        <v>822</v>
      </c>
      <c r="D163" s="15" t="s">
        <v>187</v>
      </c>
      <c r="E163" s="17" t="s">
        <v>828</v>
      </c>
      <c r="F163" s="17" t="s">
        <v>102</v>
      </c>
      <c r="G163" s="17" t="s">
        <v>829</v>
      </c>
      <c r="H163" s="17" t="s">
        <v>830</v>
      </c>
      <c r="I163" s="17" t="s">
        <v>831</v>
      </c>
      <c r="J163" s="15" t="s">
        <v>25</v>
      </c>
      <c r="K163" s="15" t="s">
        <v>26</v>
      </c>
      <c r="L163" s="18"/>
      <c r="M163" s="19" t="s">
        <v>27</v>
      </c>
      <c r="N163" s="18"/>
      <c r="O163" s="20"/>
      <c r="P163" s="18"/>
    </row>
    <row r="164" ht="26.4" spans="1:16">
      <c r="A164" s="15" t="s">
        <v>832</v>
      </c>
      <c r="B164" s="18" t="s">
        <v>821</v>
      </c>
      <c r="C164" s="17" t="s">
        <v>822</v>
      </c>
      <c r="D164" s="15" t="s">
        <v>187</v>
      </c>
      <c r="E164" s="17" t="s">
        <v>833</v>
      </c>
      <c r="F164" s="17" t="s">
        <v>102</v>
      </c>
      <c r="G164" s="17" t="s">
        <v>834</v>
      </c>
      <c r="H164" s="17" t="s">
        <v>835</v>
      </c>
      <c r="I164" s="17" t="s">
        <v>836</v>
      </c>
      <c r="J164" s="15" t="s">
        <v>25</v>
      </c>
      <c r="K164" s="15" t="s">
        <v>26</v>
      </c>
      <c r="L164" s="18"/>
      <c r="M164" s="19" t="s">
        <v>27</v>
      </c>
      <c r="N164" s="18"/>
      <c r="O164" s="20"/>
      <c r="P164" s="18"/>
    </row>
    <row r="165" ht="26.4" spans="1:16">
      <c r="A165" s="15" t="s">
        <v>837</v>
      </c>
      <c r="B165" s="18" t="s">
        <v>821</v>
      </c>
      <c r="C165" s="17" t="s">
        <v>822</v>
      </c>
      <c r="D165" s="15" t="s">
        <v>66</v>
      </c>
      <c r="E165" s="17" t="s">
        <v>838</v>
      </c>
      <c r="F165" s="17" t="s">
        <v>102</v>
      </c>
      <c r="G165" s="17" t="s">
        <v>839</v>
      </c>
      <c r="H165" s="17" t="s">
        <v>840</v>
      </c>
      <c r="I165" s="17" t="s">
        <v>841</v>
      </c>
      <c r="J165" s="15" t="s">
        <v>25</v>
      </c>
      <c r="K165" s="15" t="s">
        <v>26</v>
      </c>
      <c r="L165" s="18"/>
      <c r="M165" s="19" t="s">
        <v>27</v>
      </c>
      <c r="N165" s="18"/>
      <c r="O165" s="20"/>
      <c r="P165" s="18"/>
    </row>
    <row r="166" ht="26.4" spans="1:16">
      <c r="A166" s="15" t="s">
        <v>842</v>
      </c>
      <c r="B166" s="18" t="s">
        <v>821</v>
      </c>
      <c r="C166" s="17" t="s">
        <v>822</v>
      </c>
      <c r="D166" s="15" t="s">
        <v>72</v>
      </c>
      <c r="E166" s="17" t="s">
        <v>843</v>
      </c>
      <c r="F166" s="17" t="s">
        <v>102</v>
      </c>
      <c r="G166" s="17" t="s">
        <v>844</v>
      </c>
      <c r="H166" s="17" t="s">
        <v>845</v>
      </c>
      <c r="I166" s="17" t="s">
        <v>846</v>
      </c>
      <c r="J166" s="15" t="s">
        <v>41</v>
      </c>
      <c r="K166" s="15" t="s">
        <v>26</v>
      </c>
      <c r="L166" s="18"/>
      <c r="M166" s="19" t="s">
        <v>27</v>
      </c>
      <c r="N166" s="18"/>
      <c r="O166" s="20"/>
      <c r="P166" s="18"/>
    </row>
    <row r="167" ht="26.4" spans="1:16">
      <c r="A167" s="15" t="s">
        <v>847</v>
      </c>
      <c r="B167" s="18" t="s">
        <v>821</v>
      </c>
      <c r="C167" s="17" t="s">
        <v>822</v>
      </c>
      <c r="D167" s="15" t="s">
        <v>19</v>
      </c>
      <c r="E167" s="17" t="s">
        <v>848</v>
      </c>
      <c r="F167" s="17" t="s">
        <v>102</v>
      </c>
      <c r="G167" s="17" t="s">
        <v>849</v>
      </c>
      <c r="H167" s="17" t="s">
        <v>381</v>
      </c>
      <c r="I167" s="17" t="s">
        <v>850</v>
      </c>
      <c r="J167" s="15" t="s">
        <v>41</v>
      </c>
      <c r="K167" s="15" t="s">
        <v>26</v>
      </c>
      <c r="L167" s="18"/>
      <c r="M167" s="19" t="s">
        <v>27</v>
      </c>
      <c r="N167" s="18"/>
      <c r="O167" s="20"/>
      <c r="P167" s="18"/>
    </row>
    <row r="168" spans="1:16">
      <c r="A168" s="15" t="s">
        <v>851</v>
      </c>
      <c r="B168" s="18" t="s">
        <v>821</v>
      </c>
      <c r="C168" s="17" t="s">
        <v>852</v>
      </c>
      <c r="D168" s="15" t="s">
        <v>187</v>
      </c>
      <c r="E168" s="17" t="s">
        <v>853</v>
      </c>
      <c r="F168" s="17" t="s">
        <v>102</v>
      </c>
      <c r="G168" s="17" t="s">
        <v>854</v>
      </c>
      <c r="H168" s="17" t="s">
        <v>855</v>
      </c>
      <c r="I168" s="17" t="s">
        <v>856</v>
      </c>
      <c r="J168" s="15" t="s">
        <v>25</v>
      </c>
      <c r="K168" s="15" t="s">
        <v>26</v>
      </c>
      <c r="L168" s="18"/>
      <c r="M168" s="19" t="s">
        <v>27</v>
      </c>
      <c r="N168" s="18"/>
      <c r="O168" s="20"/>
      <c r="P168" s="18"/>
    </row>
    <row r="169" spans="1:16">
      <c r="A169" s="15" t="s">
        <v>857</v>
      </c>
      <c r="B169" s="18" t="s">
        <v>821</v>
      </c>
      <c r="C169" s="17" t="s">
        <v>852</v>
      </c>
      <c r="D169" s="15" t="s">
        <v>72</v>
      </c>
      <c r="E169" s="17" t="s">
        <v>858</v>
      </c>
      <c r="F169" s="17" t="s">
        <v>102</v>
      </c>
      <c r="G169" s="17" t="s">
        <v>854</v>
      </c>
      <c r="H169" s="17" t="s">
        <v>859</v>
      </c>
      <c r="I169" s="17" t="s">
        <v>860</v>
      </c>
      <c r="J169" s="15" t="s">
        <v>41</v>
      </c>
      <c r="K169" s="15" t="s">
        <v>26</v>
      </c>
      <c r="L169" s="18"/>
      <c r="M169" s="19" t="s">
        <v>27</v>
      </c>
      <c r="N169" s="18"/>
      <c r="O169" s="20"/>
      <c r="P169" s="18"/>
    </row>
    <row r="170" spans="1:16">
      <c r="A170" s="15" t="s">
        <v>861</v>
      </c>
      <c r="B170" s="18" t="s">
        <v>821</v>
      </c>
      <c r="C170" s="17" t="s">
        <v>852</v>
      </c>
      <c r="D170" s="15" t="s">
        <v>187</v>
      </c>
      <c r="E170" s="17" t="s">
        <v>862</v>
      </c>
      <c r="F170" s="17" t="s">
        <v>102</v>
      </c>
      <c r="G170" s="17" t="s">
        <v>854</v>
      </c>
      <c r="H170" s="17" t="s">
        <v>863</v>
      </c>
      <c r="I170" s="17" t="s">
        <v>864</v>
      </c>
      <c r="J170" s="15" t="s">
        <v>25</v>
      </c>
      <c r="K170" s="15" t="s">
        <v>26</v>
      </c>
      <c r="L170" s="18"/>
      <c r="M170" s="19" t="s">
        <v>27</v>
      </c>
      <c r="N170" s="18"/>
      <c r="O170" s="20"/>
      <c r="P170" s="18"/>
    </row>
    <row r="171" spans="1:16">
      <c r="A171" s="15" t="s">
        <v>865</v>
      </c>
      <c r="B171" s="18" t="s">
        <v>821</v>
      </c>
      <c r="C171" s="17" t="s">
        <v>852</v>
      </c>
      <c r="D171" s="15" t="s">
        <v>187</v>
      </c>
      <c r="E171" s="17" t="s">
        <v>866</v>
      </c>
      <c r="F171" s="17" t="s">
        <v>102</v>
      </c>
      <c r="G171" s="17" t="s">
        <v>854</v>
      </c>
      <c r="H171" s="17" t="s">
        <v>867</v>
      </c>
      <c r="I171" s="17" t="s">
        <v>868</v>
      </c>
      <c r="J171" s="15" t="s">
        <v>41</v>
      </c>
      <c r="K171" s="15" t="s">
        <v>26</v>
      </c>
      <c r="L171" s="18"/>
      <c r="M171" s="19" t="s">
        <v>27</v>
      </c>
      <c r="N171" s="18"/>
      <c r="O171" s="20"/>
      <c r="P171" s="18"/>
    </row>
    <row r="172" spans="1:16">
      <c r="A172" s="15" t="s">
        <v>869</v>
      </c>
      <c r="B172" s="18" t="s">
        <v>821</v>
      </c>
      <c r="C172" s="17" t="s">
        <v>852</v>
      </c>
      <c r="D172" s="15" t="s">
        <v>72</v>
      </c>
      <c r="E172" s="17" t="s">
        <v>870</v>
      </c>
      <c r="F172" s="17" t="s">
        <v>102</v>
      </c>
      <c r="G172" s="17" t="s">
        <v>854</v>
      </c>
      <c r="H172" s="17" t="s">
        <v>871</v>
      </c>
      <c r="I172" s="17" t="s">
        <v>872</v>
      </c>
      <c r="J172" s="15" t="s">
        <v>41</v>
      </c>
      <c r="K172" s="15" t="s">
        <v>26</v>
      </c>
      <c r="L172" s="18"/>
      <c r="M172" s="19" t="s">
        <v>27</v>
      </c>
      <c r="N172" s="18"/>
      <c r="O172" s="20"/>
      <c r="P172" s="18"/>
    </row>
    <row r="173" ht="26.4" spans="1:16">
      <c r="A173" s="15" t="s">
        <v>873</v>
      </c>
      <c r="B173" s="18" t="s">
        <v>821</v>
      </c>
      <c r="C173" s="17" t="s">
        <v>852</v>
      </c>
      <c r="D173" s="15" t="s">
        <v>187</v>
      </c>
      <c r="E173" s="17" t="s">
        <v>874</v>
      </c>
      <c r="F173" s="17" t="s">
        <v>102</v>
      </c>
      <c r="G173" s="17" t="s">
        <v>875</v>
      </c>
      <c r="H173" s="17" t="s">
        <v>876</v>
      </c>
      <c r="I173" s="17" t="s">
        <v>877</v>
      </c>
      <c r="J173" s="15" t="s">
        <v>25</v>
      </c>
      <c r="K173" s="15" t="s">
        <v>26</v>
      </c>
      <c r="L173" s="18"/>
      <c r="M173" s="19" t="s">
        <v>27</v>
      </c>
      <c r="N173" s="18"/>
      <c r="O173" s="20"/>
      <c r="P173" s="18"/>
    </row>
    <row r="174" ht="26.4" spans="1:16">
      <c r="A174" s="15" t="s">
        <v>878</v>
      </c>
      <c r="B174" s="18" t="s">
        <v>821</v>
      </c>
      <c r="C174" s="17" t="s">
        <v>879</v>
      </c>
      <c r="D174" s="15" t="s">
        <v>19</v>
      </c>
      <c r="E174" s="17" t="s">
        <v>880</v>
      </c>
      <c r="F174" s="17" t="s">
        <v>102</v>
      </c>
      <c r="G174" s="17" t="s">
        <v>881</v>
      </c>
      <c r="H174" s="17" t="s">
        <v>319</v>
      </c>
      <c r="I174" s="17" t="s">
        <v>882</v>
      </c>
      <c r="J174" s="15" t="s">
        <v>41</v>
      </c>
      <c r="K174" s="15" t="s">
        <v>26</v>
      </c>
      <c r="L174" s="18"/>
      <c r="M174" s="19" t="s">
        <v>27</v>
      </c>
      <c r="N174" s="18"/>
      <c r="O174" s="20"/>
      <c r="P174" s="18"/>
    </row>
    <row r="175" spans="1:16">
      <c r="A175" s="15" t="s">
        <v>883</v>
      </c>
      <c r="B175" s="18" t="s">
        <v>821</v>
      </c>
      <c r="C175" s="17" t="s">
        <v>879</v>
      </c>
      <c r="D175" s="15" t="s">
        <v>19</v>
      </c>
      <c r="E175" s="17" t="s">
        <v>884</v>
      </c>
      <c r="F175" s="17" t="s">
        <v>102</v>
      </c>
      <c r="G175" s="17" t="s">
        <v>885</v>
      </c>
      <c r="H175" s="17" t="s">
        <v>319</v>
      </c>
      <c r="I175" s="17" t="s">
        <v>886</v>
      </c>
      <c r="J175" s="15" t="s">
        <v>41</v>
      </c>
      <c r="K175" s="15" t="s">
        <v>26</v>
      </c>
      <c r="L175" s="18"/>
      <c r="M175" s="19" t="s">
        <v>27</v>
      </c>
      <c r="N175" s="18"/>
      <c r="O175" s="20"/>
      <c r="P175" s="18"/>
    </row>
    <row r="176" ht="26.4" spans="1:16">
      <c r="A176" s="15" t="s">
        <v>887</v>
      </c>
      <c r="B176" s="18" t="s">
        <v>821</v>
      </c>
      <c r="C176" s="17" t="s">
        <v>879</v>
      </c>
      <c r="D176" s="15" t="s">
        <v>19</v>
      </c>
      <c r="E176" s="17" t="s">
        <v>888</v>
      </c>
      <c r="F176" s="17" t="s">
        <v>102</v>
      </c>
      <c r="G176" s="17" t="s">
        <v>889</v>
      </c>
      <c r="H176" s="17" t="s">
        <v>890</v>
      </c>
      <c r="I176" s="17" t="s">
        <v>891</v>
      </c>
      <c r="J176" s="15" t="s">
        <v>41</v>
      </c>
      <c r="K176" s="15" t="s">
        <v>26</v>
      </c>
      <c r="L176" s="18"/>
      <c r="M176" s="19" t="s">
        <v>27</v>
      </c>
      <c r="N176" s="18"/>
      <c r="O176" s="20"/>
      <c r="P176" s="18"/>
    </row>
    <row r="177" ht="26.4" spans="1:16">
      <c r="A177" s="15" t="s">
        <v>892</v>
      </c>
      <c r="B177" s="18" t="s">
        <v>821</v>
      </c>
      <c r="C177" s="17" t="s">
        <v>879</v>
      </c>
      <c r="D177" s="15" t="s">
        <v>187</v>
      </c>
      <c r="E177" s="17" t="s">
        <v>893</v>
      </c>
      <c r="F177" s="17" t="s">
        <v>102</v>
      </c>
      <c r="G177" s="17" t="s">
        <v>894</v>
      </c>
      <c r="H177" s="17" t="s">
        <v>895</v>
      </c>
      <c r="I177" s="17" t="s">
        <v>896</v>
      </c>
      <c r="J177" s="15" t="s">
        <v>25</v>
      </c>
      <c r="K177" s="15" t="s">
        <v>26</v>
      </c>
      <c r="L177" s="18"/>
      <c r="M177" s="19" t="s">
        <v>27</v>
      </c>
      <c r="N177" s="18"/>
      <c r="O177" s="20"/>
      <c r="P177" s="18"/>
    </row>
    <row r="178" ht="26.4" spans="1:16">
      <c r="A178" s="15" t="s">
        <v>897</v>
      </c>
      <c r="B178" s="18" t="s">
        <v>821</v>
      </c>
      <c r="C178" s="17" t="s">
        <v>879</v>
      </c>
      <c r="D178" s="15" t="s">
        <v>187</v>
      </c>
      <c r="E178" s="17" t="s">
        <v>898</v>
      </c>
      <c r="F178" s="17" t="s">
        <v>102</v>
      </c>
      <c r="G178" s="17" t="s">
        <v>899</v>
      </c>
      <c r="H178" s="17" t="s">
        <v>631</v>
      </c>
      <c r="I178" s="17" t="s">
        <v>900</v>
      </c>
      <c r="J178" s="15" t="s">
        <v>25</v>
      </c>
      <c r="K178" s="15" t="s">
        <v>26</v>
      </c>
      <c r="L178" s="18"/>
      <c r="M178" s="19" t="s">
        <v>27</v>
      </c>
      <c r="N178" s="18"/>
      <c r="O178" s="20"/>
      <c r="P178" s="18"/>
    </row>
    <row r="179" ht="39.6" spans="1:16">
      <c r="A179" s="15" t="s">
        <v>901</v>
      </c>
      <c r="B179" s="18" t="s">
        <v>821</v>
      </c>
      <c r="C179" s="17" t="s">
        <v>879</v>
      </c>
      <c r="D179" s="15" t="s">
        <v>187</v>
      </c>
      <c r="E179" s="17" t="s">
        <v>902</v>
      </c>
      <c r="F179" s="17" t="s">
        <v>102</v>
      </c>
      <c r="G179" s="17" t="s">
        <v>903</v>
      </c>
      <c r="H179" s="17" t="s">
        <v>904</v>
      </c>
      <c r="I179" s="17" t="s">
        <v>905</v>
      </c>
      <c r="J179" s="15" t="s">
        <v>25</v>
      </c>
      <c r="K179" s="15" t="s">
        <v>26</v>
      </c>
      <c r="L179" s="18"/>
      <c r="M179" s="19" t="s">
        <v>27</v>
      </c>
      <c r="N179" s="18"/>
      <c r="O179" s="20"/>
      <c r="P179" s="18"/>
    </row>
    <row r="180" ht="26.4" spans="1:16">
      <c r="A180" s="15" t="s">
        <v>906</v>
      </c>
      <c r="B180" s="18" t="s">
        <v>821</v>
      </c>
      <c r="C180" s="17" t="s">
        <v>907</v>
      </c>
      <c r="D180" s="15" t="s">
        <v>19</v>
      </c>
      <c r="E180" s="17" t="s">
        <v>908</v>
      </c>
      <c r="F180" s="17" t="s">
        <v>102</v>
      </c>
      <c r="G180" s="17" t="s">
        <v>909</v>
      </c>
      <c r="H180" s="17" t="s">
        <v>910</v>
      </c>
      <c r="I180" s="17" t="s">
        <v>911</v>
      </c>
      <c r="J180" s="15" t="s">
        <v>25</v>
      </c>
      <c r="K180" s="15" t="s">
        <v>26</v>
      </c>
      <c r="L180" s="18"/>
      <c r="M180" s="19" t="s">
        <v>27</v>
      </c>
      <c r="N180" s="18"/>
      <c r="O180" s="20"/>
      <c r="P180" s="18"/>
    </row>
    <row r="181" ht="26.4" spans="1:16">
      <c r="A181" s="15" t="s">
        <v>912</v>
      </c>
      <c r="B181" s="18" t="s">
        <v>821</v>
      </c>
      <c r="C181" s="17" t="s">
        <v>907</v>
      </c>
      <c r="D181" s="15" t="s">
        <v>19</v>
      </c>
      <c r="E181" s="17" t="s">
        <v>913</v>
      </c>
      <c r="F181" s="17" t="s">
        <v>102</v>
      </c>
      <c r="G181" s="17" t="s">
        <v>914</v>
      </c>
      <c r="H181" s="17" t="s">
        <v>915</v>
      </c>
      <c r="I181" s="17" t="s">
        <v>916</v>
      </c>
      <c r="J181" s="15" t="s">
        <v>25</v>
      </c>
      <c r="K181" s="15" t="s">
        <v>26</v>
      </c>
      <c r="L181" s="18"/>
      <c r="M181" s="19" t="s">
        <v>27</v>
      </c>
      <c r="N181" s="18"/>
      <c r="O181" s="20"/>
      <c r="P181" s="18"/>
    </row>
    <row r="182" spans="1:16">
      <c r="A182" s="15" t="s">
        <v>917</v>
      </c>
      <c r="B182" s="18" t="s">
        <v>821</v>
      </c>
      <c r="C182" s="17" t="s">
        <v>907</v>
      </c>
      <c r="D182" s="15" t="s">
        <v>19</v>
      </c>
      <c r="E182" s="17" t="s">
        <v>918</v>
      </c>
      <c r="F182" s="17" t="s">
        <v>102</v>
      </c>
      <c r="G182" s="17" t="s">
        <v>919</v>
      </c>
      <c r="H182" s="17" t="s">
        <v>920</v>
      </c>
      <c r="I182" s="17" t="s">
        <v>921</v>
      </c>
      <c r="J182" s="15" t="s">
        <v>25</v>
      </c>
      <c r="K182" s="15" t="s">
        <v>26</v>
      </c>
      <c r="L182" s="18"/>
      <c r="M182" s="19" t="s">
        <v>27</v>
      </c>
      <c r="N182" s="18"/>
      <c r="O182" s="20"/>
      <c r="P182" s="18"/>
    </row>
    <row r="183" ht="26.4" spans="1:16">
      <c r="A183" s="15" t="s">
        <v>922</v>
      </c>
      <c r="B183" s="18" t="s">
        <v>821</v>
      </c>
      <c r="C183" s="17" t="s">
        <v>907</v>
      </c>
      <c r="D183" s="15" t="s">
        <v>19</v>
      </c>
      <c r="E183" s="17" t="s">
        <v>923</v>
      </c>
      <c r="F183" s="17" t="s">
        <v>102</v>
      </c>
      <c r="G183" s="17" t="s">
        <v>924</v>
      </c>
      <c r="H183" s="17" t="s">
        <v>925</v>
      </c>
      <c r="I183" s="17" t="s">
        <v>926</v>
      </c>
      <c r="J183" s="15" t="s">
        <v>25</v>
      </c>
      <c r="K183" s="15" t="s">
        <v>26</v>
      </c>
      <c r="L183" s="18"/>
      <c r="M183" s="19" t="s">
        <v>27</v>
      </c>
      <c r="N183" s="18"/>
      <c r="O183" s="20"/>
      <c r="P183" s="18"/>
    </row>
    <row r="184" ht="26.4" spans="1:16">
      <c r="A184" s="15" t="s">
        <v>927</v>
      </c>
      <c r="B184" s="18" t="s">
        <v>821</v>
      </c>
      <c r="C184" s="17" t="s">
        <v>907</v>
      </c>
      <c r="D184" s="15" t="s">
        <v>72</v>
      </c>
      <c r="E184" s="17" t="s">
        <v>928</v>
      </c>
      <c r="F184" s="17" t="s">
        <v>102</v>
      </c>
      <c r="G184" s="17" t="s">
        <v>929</v>
      </c>
      <c r="H184" s="17" t="s">
        <v>930</v>
      </c>
      <c r="I184" s="17" t="s">
        <v>931</v>
      </c>
      <c r="J184" s="15" t="s">
        <v>41</v>
      </c>
      <c r="K184" s="15" t="s">
        <v>26</v>
      </c>
      <c r="L184" s="18"/>
      <c r="M184" s="19" t="s">
        <v>27</v>
      </c>
      <c r="N184" s="18"/>
      <c r="O184" s="20"/>
      <c r="P184" s="18"/>
    </row>
    <row r="185" ht="26.4" spans="1:16">
      <c r="A185" s="15" t="s">
        <v>932</v>
      </c>
      <c r="B185" s="18" t="s">
        <v>821</v>
      </c>
      <c r="C185" s="17" t="s">
        <v>933</v>
      </c>
      <c r="D185" s="15" t="s">
        <v>187</v>
      </c>
      <c r="E185" s="17" t="s">
        <v>934</v>
      </c>
      <c r="F185" s="17" t="s">
        <v>102</v>
      </c>
      <c r="G185" s="17" t="s">
        <v>935</v>
      </c>
      <c r="H185" s="17" t="s">
        <v>936</v>
      </c>
      <c r="I185" s="17" t="s">
        <v>937</v>
      </c>
      <c r="J185" s="15" t="s">
        <v>25</v>
      </c>
      <c r="K185" s="15" t="s">
        <v>26</v>
      </c>
      <c r="L185" s="18"/>
      <c r="M185" s="19" t="s">
        <v>27</v>
      </c>
      <c r="N185" s="18"/>
      <c r="O185" s="20"/>
      <c r="P185" s="18"/>
    </row>
    <row r="186" ht="26.4" spans="1:16">
      <c r="A186" s="15" t="s">
        <v>938</v>
      </c>
      <c r="B186" s="18" t="s">
        <v>821</v>
      </c>
      <c r="C186" s="17" t="s">
        <v>933</v>
      </c>
      <c r="D186" s="15" t="s">
        <v>187</v>
      </c>
      <c r="E186" s="17" t="s">
        <v>939</v>
      </c>
      <c r="F186" s="17" t="s">
        <v>102</v>
      </c>
      <c r="G186" s="17" t="s">
        <v>940</v>
      </c>
      <c r="H186" s="17" t="s">
        <v>936</v>
      </c>
      <c r="I186" s="17" t="s">
        <v>937</v>
      </c>
      <c r="J186" s="15" t="s">
        <v>25</v>
      </c>
      <c r="K186" s="15" t="s">
        <v>26</v>
      </c>
      <c r="L186" s="18"/>
      <c r="M186" s="19" t="s">
        <v>27</v>
      </c>
      <c r="N186" s="18"/>
      <c r="O186" s="20"/>
      <c r="P186" s="18"/>
    </row>
    <row r="187" spans="1:16">
      <c r="A187" s="15" t="s">
        <v>941</v>
      </c>
      <c r="B187" s="18" t="s">
        <v>821</v>
      </c>
      <c r="C187" s="17" t="s">
        <v>933</v>
      </c>
      <c r="D187" s="15" t="s">
        <v>187</v>
      </c>
      <c r="E187" s="17" t="s">
        <v>942</v>
      </c>
      <c r="F187" s="17" t="s">
        <v>102</v>
      </c>
      <c r="G187" s="17" t="s">
        <v>943</v>
      </c>
      <c r="H187" s="17" t="s">
        <v>910</v>
      </c>
      <c r="I187" s="17" t="s">
        <v>944</v>
      </c>
      <c r="J187" s="15" t="s">
        <v>25</v>
      </c>
      <c r="K187" s="15" t="s">
        <v>26</v>
      </c>
      <c r="L187" s="18"/>
      <c r="M187" s="19" t="s">
        <v>27</v>
      </c>
      <c r="N187" s="18"/>
      <c r="O187" s="20"/>
      <c r="P187" s="18"/>
    </row>
    <row r="188" spans="1:16">
      <c r="A188" s="15" t="s">
        <v>945</v>
      </c>
      <c r="B188" s="18" t="s">
        <v>821</v>
      </c>
      <c r="C188" s="17" t="s">
        <v>933</v>
      </c>
      <c r="D188" s="15" t="s">
        <v>187</v>
      </c>
      <c r="E188" s="17" t="s">
        <v>946</v>
      </c>
      <c r="F188" s="17" t="s">
        <v>102</v>
      </c>
      <c r="G188" s="17" t="s">
        <v>947</v>
      </c>
      <c r="H188" s="17" t="s">
        <v>910</v>
      </c>
      <c r="I188" s="17" t="s">
        <v>948</v>
      </c>
      <c r="J188" s="15" t="s">
        <v>25</v>
      </c>
      <c r="K188" s="15" t="s">
        <v>26</v>
      </c>
      <c r="L188" s="18"/>
      <c r="M188" s="19" t="s">
        <v>27</v>
      </c>
      <c r="N188" s="18"/>
      <c r="O188" s="20"/>
      <c r="P188" s="18"/>
    </row>
    <row r="189" spans="1:16">
      <c r="A189" s="15" t="s">
        <v>949</v>
      </c>
      <c r="B189" s="18" t="s">
        <v>821</v>
      </c>
      <c r="C189" s="17" t="s">
        <v>933</v>
      </c>
      <c r="D189" s="15" t="s">
        <v>187</v>
      </c>
      <c r="E189" s="17" t="s">
        <v>950</v>
      </c>
      <c r="F189" s="17" t="s">
        <v>102</v>
      </c>
      <c r="G189" s="17" t="s">
        <v>951</v>
      </c>
      <c r="H189" s="17" t="s">
        <v>910</v>
      </c>
      <c r="I189" s="17" t="s">
        <v>952</v>
      </c>
      <c r="J189" s="15" t="s">
        <v>25</v>
      </c>
      <c r="K189" s="15" t="s">
        <v>26</v>
      </c>
      <c r="L189" s="18"/>
      <c r="M189" s="19" t="s">
        <v>27</v>
      </c>
      <c r="N189" s="18"/>
      <c r="O189" s="20"/>
      <c r="P189" s="18"/>
    </row>
    <row r="190" spans="1:16">
      <c r="A190" s="15" t="s">
        <v>953</v>
      </c>
      <c r="B190" s="18" t="s">
        <v>821</v>
      </c>
      <c r="C190" s="17" t="s">
        <v>933</v>
      </c>
      <c r="D190" s="15" t="s">
        <v>187</v>
      </c>
      <c r="E190" s="17" t="s">
        <v>954</v>
      </c>
      <c r="F190" s="17" t="s">
        <v>102</v>
      </c>
      <c r="G190" s="17" t="s">
        <v>955</v>
      </c>
      <c r="H190" s="17" t="s">
        <v>910</v>
      </c>
      <c r="I190" s="17" t="s">
        <v>956</v>
      </c>
      <c r="J190" s="15" t="s">
        <v>25</v>
      </c>
      <c r="K190" s="15" t="s">
        <v>26</v>
      </c>
      <c r="L190" s="18"/>
      <c r="M190" s="19" t="s">
        <v>27</v>
      </c>
      <c r="N190" s="18"/>
      <c r="O190" s="20"/>
      <c r="P190" s="18"/>
    </row>
    <row r="191" ht="26.4" spans="1:16">
      <c r="A191" s="15" t="s">
        <v>957</v>
      </c>
      <c r="B191" s="18" t="s">
        <v>821</v>
      </c>
      <c r="C191" s="17" t="s">
        <v>933</v>
      </c>
      <c r="D191" s="15" t="s">
        <v>187</v>
      </c>
      <c r="E191" s="17" t="s">
        <v>958</v>
      </c>
      <c r="F191" s="17" t="s">
        <v>102</v>
      </c>
      <c r="G191" s="17" t="s">
        <v>959</v>
      </c>
      <c r="H191" s="17" t="s">
        <v>910</v>
      </c>
      <c r="I191" s="17" t="s">
        <v>960</v>
      </c>
      <c r="J191" s="15" t="s">
        <v>25</v>
      </c>
      <c r="K191" s="15" t="s">
        <v>26</v>
      </c>
      <c r="L191" s="18"/>
      <c r="M191" s="19" t="s">
        <v>27</v>
      </c>
      <c r="N191" s="18"/>
      <c r="O191" s="20"/>
      <c r="P191" s="18"/>
    </row>
    <row r="192" ht="26.4" spans="1:16">
      <c r="A192" s="15" t="s">
        <v>961</v>
      </c>
      <c r="B192" s="18" t="s">
        <v>821</v>
      </c>
      <c r="C192" s="17" t="s">
        <v>933</v>
      </c>
      <c r="D192" s="15" t="s">
        <v>19</v>
      </c>
      <c r="E192" s="17" t="s">
        <v>962</v>
      </c>
      <c r="F192" s="17" t="s">
        <v>102</v>
      </c>
      <c r="G192" s="17" t="s">
        <v>963</v>
      </c>
      <c r="H192" s="17" t="s">
        <v>964</v>
      </c>
      <c r="I192" s="17" t="s">
        <v>965</v>
      </c>
      <c r="J192" s="15" t="s">
        <v>25</v>
      </c>
      <c r="K192" s="15" t="s">
        <v>26</v>
      </c>
      <c r="L192" s="18"/>
      <c r="M192" s="19" t="s">
        <v>27</v>
      </c>
      <c r="N192" s="18"/>
      <c r="O192" s="20"/>
      <c r="P192" s="18"/>
    </row>
    <row r="193" spans="1:16">
      <c r="A193" s="15" t="s">
        <v>966</v>
      </c>
      <c r="B193" s="18" t="s">
        <v>821</v>
      </c>
      <c r="C193" s="17" t="s">
        <v>933</v>
      </c>
      <c r="D193" s="15" t="s">
        <v>72</v>
      </c>
      <c r="E193" s="17" t="s">
        <v>967</v>
      </c>
      <c r="F193" s="17" t="s">
        <v>102</v>
      </c>
      <c r="G193" s="17" t="s">
        <v>968</v>
      </c>
      <c r="H193" s="17" t="s">
        <v>969</v>
      </c>
      <c r="I193" s="17" t="s">
        <v>970</v>
      </c>
      <c r="J193" s="15" t="s">
        <v>41</v>
      </c>
      <c r="K193" s="15" t="s">
        <v>26</v>
      </c>
      <c r="L193" s="18"/>
      <c r="M193" s="19" t="s">
        <v>27</v>
      </c>
      <c r="N193" s="18"/>
      <c r="O193" s="20"/>
      <c r="P193" s="18"/>
    </row>
    <row r="194" spans="1:16">
      <c r="A194" s="15" t="s">
        <v>971</v>
      </c>
      <c r="B194" s="18" t="s">
        <v>821</v>
      </c>
      <c r="C194" s="17" t="s">
        <v>933</v>
      </c>
      <c r="D194" s="15" t="s">
        <v>35</v>
      </c>
      <c r="E194" s="17" t="s">
        <v>972</v>
      </c>
      <c r="F194" s="17" t="s">
        <v>102</v>
      </c>
      <c r="G194" s="17" t="s">
        <v>973</v>
      </c>
      <c r="H194" s="17" t="s">
        <v>974</v>
      </c>
      <c r="I194" s="17" t="s">
        <v>975</v>
      </c>
      <c r="J194" s="15" t="s">
        <v>41</v>
      </c>
      <c r="K194" s="15" t="s">
        <v>26</v>
      </c>
      <c r="L194" s="18"/>
      <c r="M194" s="19" t="s">
        <v>27</v>
      </c>
      <c r="N194" s="18"/>
      <c r="O194" s="20"/>
      <c r="P194" s="18"/>
    </row>
    <row r="195" ht="39.6" spans="1:16">
      <c r="A195" s="15" t="s">
        <v>976</v>
      </c>
      <c r="B195" s="24" t="s">
        <v>977</v>
      </c>
      <c r="C195" s="17" t="s">
        <v>978</v>
      </c>
      <c r="D195" s="15" t="s">
        <v>187</v>
      </c>
      <c r="E195" s="17" t="s">
        <v>979</v>
      </c>
      <c r="F195" s="17" t="s">
        <v>102</v>
      </c>
      <c r="G195" s="17" t="s">
        <v>980</v>
      </c>
      <c r="H195" s="17" t="s">
        <v>890</v>
      </c>
      <c r="I195" s="17" t="s">
        <v>981</v>
      </c>
      <c r="J195" s="15" t="s">
        <v>25</v>
      </c>
      <c r="K195" s="15" t="s">
        <v>26</v>
      </c>
      <c r="L195" s="18"/>
      <c r="M195" s="19" t="s">
        <v>27</v>
      </c>
      <c r="N195" s="18"/>
      <c r="O195" s="20"/>
      <c r="P195" s="18"/>
    </row>
    <row r="196" ht="26.4" spans="1:16">
      <c r="A196" s="15" t="s">
        <v>982</v>
      </c>
      <c r="B196" s="24" t="s">
        <v>977</v>
      </c>
      <c r="C196" s="17" t="s">
        <v>978</v>
      </c>
      <c r="D196" s="15" t="s">
        <v>66</v>
      </c>
      <c r="E196" s="17" t="s">
        <v>983</v>
      </c>
      <c r="F196" s="17" t="s">
        <v>102</v>
      </c>
      <c r="G196" s="17" t="s">
        <v>984</v>
      </c>
      <c r="H196" s="17" t="s">
        <v>82</v>
      </c>
      <c r="I196" s="17" t="s">
        <v>985</v>
      </c>
      <c r="J196" s="15" t="s">
        <v>25</v>
      </c>
      <c r="K196" s="15" t="s">
        <v>26</v>
      </c>
      <c r="L196" s="18"/>
      <c r="M196" s="19" t="s">
        <v>27</v>
      </c>
      <c r="N196" s="18"/>
      <c r="O196" s="20"/>
      <c r="P196" s="18"/>
    </row>
    <row r="197" ht="26.4" spans="1:16">
      <c r="A197" s="15" t="s">
        <v>986</v>
      </c>
      <c r="B197" s="24" t="s">
        <v>977</v>
      </c>
      <c r="C197" s="17" t="s">
        <v>978</v>
      </c>
      <c r="D197" s="15" t="s">
        <v>66</v>
      </c>
      <c r="E197" s="17" t="s">
        <v>987</v>
      </c>
      <c r="F197" s="17" t="s">
        <v>102</v>
      </c>
      <c r="G197" s="17" t="s">
        <v>988</v>
      </c>
      <c r="H197" s="17" t="s">
        <v>989</v>
      </c>
      <c r="I197" s="17" t="s">
        <v>990</v>
      </c>
      <c r="J197" s="15" t="s">
        <v>25</v>
      </c>
      <c r="K197" s="15" t="s">
        <v>26</v>
      </c>
      <c r="L197" s="18"/>
      <c r="M197" s="19" t="s">
        <v>27</v>
      </c>
      <c r="N197" s="18"/>
      <c r="O197" s="20"/>
      <c r="P197" s="18"/>
    </row>
    <row r="198" ht="26.4" spans="1:16">
      <c r="A198" s="15" t="s">
        <v>991</v>
      </c>
      <c r="B198" s="24" t="s">
        <v>977</v>
      </c>
      <c r="C198" s="17" t="s">
        <v>992</v>
      </c>
      <c r="D198" s="15" t="s">
        <v>19</v>
      </c>
      <c r="E198" s="17" t="s">
        <v>993</v>
      </c>
      <c r="F198" s="17" t="s">
        <v>994</v>
      </c>
      <c r="G198" s="17" t="s">
        <v>995</v>
      </c>
      <c r="H198" s="17" t="s">
        <v>82</v>
      </c>
      <c r="I198" s="17" t="s">
        <v>996</v>
      </c>
      <c r="J198" s="15" t="s">
        <v>25</v>
      </c>
      <c r="K198" s="15" t="s">
        <v>26</v>
      </c>
      <c r="L198" s="18"/>
      <c r="M198" s="19" t="s">
        <v>27</v>
      </c>
      <c r="N198" s="18"/>
      <c r="O198" s="20"/>
      <c r="P198" s="18"/>
    </row>
    <row r="199" ht="26.4" spans="1:16">
      <c r="A199" s="15" t="s">
        <v>997</v>
      </c>
      <c r="B199" s="24" t="s">
        <v>977</v>
      </c>
      <c r="C199" s="17" t="s">
        <v>992</v>
      </c>
      <c r="D199" s="15" t="s">
        <v>19</v>
      </c>
      <c r="E199" s="17" t="s">
        <v>998</v>
      </c>
      <c r="F199" s="17" t="s">
        <v>994</v>
      </c>
      <c r="G199" s="17" t="s">
        <v>999</v>
      </c>
      <c r="H199" s="17" t="s">
        <v>82</v>
      </c>
      <c r="I199" s="17" t="s">
        <v>1000</v>
      </c>
      <c r="J199" s="15" t="s">
        <v>41</v>
      </c>
      <c r="K199" s="15" t="s">
        <v>165</v>
      </c>
      <c r="L199" s="18"/>
      <c r="M199" s="19" t="s">
        <v>27</v>
      </c>
      <c r="N199" s="18"/>
      <c r="O199" s="20"/>
      <c r="P199" s="18"/>
    </row>
    <row r="200" ht="26.4" spans="1:16">
      <c r="A200" s="15" t="s">
        <v>1001</v>
      </c>
      <c r="B200" s="24" t="s">
        <v>977</v>
      </c>
      <c r="C200" s="17" t="s">
        <v>1002</v>
      </c>
      <c r="D200" s="15" t="s">
        <v>19</v>
      </c>
      <c r="E200" s="17" t="s">
        <v>1003</v>
      </c>
      <c r="F200" s="17" t="s">
        <v>1004</v>
      </c>
      <c r="G200" s="17" t="s">
        <v>1005</v>
      </c>
      <c r="H200" s="17" t="s">
        <v>82</v>
      </c>
      <c r="I200" s="17" t="s">
        <v>1006</v>
      </c>
      <c r="J200" s="15" t="s">
        <v>25</v>
      </c>
      <c r="K200" s="15" t="s">
        <v>165</v>
      </c>
      <c r="L200" s="18"/>
      <c r="M200" s="19" t="s">
        <v>27</v>
      </c>
      <c r="N200" s="18"/>
      <c r="O200" s="20"/>
      <c r="P200" s="18"/>
    </row>
    <row r="201" ht="26.4" spans="1:16">
      <c r="A201" s="15" t="s">
        <v>1007</v>
      </c>
      <c r="B201" s="24" t="s">
        <v>977</v>
      </c>
      <c r="C201" s="17" t="s">
        <v>1008</v>
      </c>
      <c r="D201" s="15" t="s">
        <v>19</v>
      </c>
      <c r="E201" s="17" t="s">
        <v>1009</v>
      </c>
      <c r="F201" s="17" t="s">
        <v>1010</v>
      </c>
      <c r="G201" s="17" t="s">
        <v>1011</v>
      </c>
      <c r="H201" s="17" t="s">
        <v>82</v>
      </c>
      <c r="I201" s="17" t="s">
        <v>1012</v>
      </c>
      <c r="J201" s="15" t="s">
        <v>164</v>
      </c>
      <c r="K201" s="15" t="s">
        <v>165</v>
      </c>
      <c r="L201" s="18"/>
      <c r="M201" s="19" t="s">
        <v>27</v>
      </c>
      <c r="N201" s="18"/>
      <c r="O201" s="20"/>
      <c r="P201" s="18"/>
    </row>
    <row r="202" ht="26.4" spans="1:16">
      <c r="A202" s="15" t="s">
        <v>1013</v>
      </c>
      <c r="B202" s="24" t="s">
        <v>977</v>
      </c>
      <c r="C202" s="17" t="s">
        <v>1008</v>
      </c>
      <c r="D202" s="15" t="s">
        <v>19</v>
      </c>
      <c r="E202" s="17" t="s">
        <v>1014</v>
      </c>
      <c r="F202" s="17" t="s">
        <v>1010</v>
      </c>
      <c r="G202" s="17" t="s">
        <v>1015</v>
      </c>
      <c r="H202" s="17" t="s">
        <v>82</v>
      </c>
      <c r="I202" s="17" t="s">
        <v>1016</v>
      </c>
      <c r="J202" s="15" t="s">
        <v>164</v>
      </c>
      <c r="K202" s="15" t="s">
        <v>165</v>
      </c>
      <c r="L202" s="18"/>
      <c r="M202" s="19" t="s">
        <v>27</v>
      </c>
      <c r="N202" s="18"/>
      <c r="O202" s="20"/>
      <c r="P202" s="18"/>
    </row>
    <row r="203" ht="26.4" spans="1:16">
      <c r="A203" s="15" t="s">
        <v>1017</v>
      </c>
      <c r="B203" s="24" t="s">
        <v>977</v>
      </c>
      <c r="C203" s="17" t="s">
        <v>1008</v>
      </c>
      <c r="D203" s="15" t="s">
        <v>19</v>
      </c>
      <c r="E203" s="17" t="s">
        <v>1018</v>
      </c>
      <c r="F203" s="17" t="s">
        <v>1019</v>
      </c>
      <c r="G203" s="17" t="s">
        <v>1020</v>
      </c>
      <c r="H203" s="17" t="s">
        <v>82</v>
      </c>
      <c r="I203" s="17" t="s">
        <v>1021</v>
      </c>
      <c r="J203" s="15" t="s">
        <v>164</v>
      </c>
      <c r="K203" s="15" t="s">
        <v>165</v>
      </c>
      <c r="L203" s="18"/>
      <c r="M203" s="19" t="s">
        <v>27</v>
      </c>
      <c r="N203" s="18"/>
      <c r="O203" s="20"/>
      <c r="P203" s="18"/>
    </row>
    <row r="204" ht="26.4" spans="1:16">
      <c r="A204" s="15" t="s">
        <v>1022</v>
      </c>
      <c r="B204" s="24" t="s">
        <v>977</v>
      </c>
      <c r="C204" s="17" t="s">
        <v>1023</v>
      </c>
      <c r="D204" s="15" t="s">
        <v>72</v>
      </c>
      <c r="E204" s="17" t="s">
        <v>1024</v>
      </c>
      <c r="F204" s="17" t="s">
        <v>1025</v>
      </c>
      <c r="G204" s="17" t="s">
        <v>1026</v>
      </c>
      <c r="H204" s="17" t="s">
        <v>1027</v>
      </c>
      <c r="I204" s="17" t="s">
        <v>1028</v>
      </c>
      <c r="J204" s="15" t="s">
        <v>41</v>
      </c>
      <c r="K204" s="15" t="s">
        <v>165</v>
      </c>
      <c r="L204" s="18"/>
      <c r="M204" s="19" t="s">
        <v>27</v>
      </c>
      <c r="N204" s="18"/>
      <c r="O204" s="20"/>
      <c r="P204" s="18"/>
    </row>
    <row r="205" ht="26.4" spans="1:16">
      <c r="A205" s="15" t="s">
        <v>1029</v>
      </c>
      <c r="B205" s="24" t="s">
        <v>977</v>
      </c>
      <c r="C205" s="17" t="s">
        <v>66</v>
      </c>
      <c r="D205" s="15" t="s">
        <v>66</v>
      </c>
      <c r="E205" s="17" t="s">
        <v>1030</v>
      </c>
      <c r="F205" s="17" t="s">
        <v>1031</v>
      </c>
      <c r="G205" s="17" t="s">
        <v>1032</v>
      </c>
      <c r="H205" s="17" t="s">
        <v>82</v>
      </c>
      <c r="I205" s="17" t="s">
        <v>1033</v>
      </c>
      <c r="J205" s="15" t="s">
        <v>41</v>
      </c>
      <c r="K205" s="15" t="s">
        <v>165</v>
      </c>
      <c r="L205" s="18"/>
      <c r="M205" s="19" t="s">
        <v>27</v>
      </c>
      <c r="N205" s="18"/>
      <c r="O205" s="20"/>
      <c r="P205" s="18"/>
    </row>
  </sheetData>
  <autoFilter xmlns:etc="http://www.wps.cn/officeDocument/2017/etCustomData" ref="A1:P205" etc:filterBottomFollowUsedRange="0">
    <extLst/>
  </autoFilter>
  <conditionalFormatting sqref="M2:M405">
    <cfRule type="cellIs" dxfId="0" priority="2" operator="equal">
      <formula>"Pass"</formula>
    </cfRule>
    <cfRule type="cellIs" dxfId="1" priority="3" operator="equal">
      <formula>"Fail"</formula>
    </cfRule>
    <cfRule type="cellIs" dxfId="2" priority="4" operator="equal">
      <formula>"Blocked"</formula>
    </cfRule>
  </conditionalFormatting>
  <dataValidations count="1">
    <dataValidation type="list" error="Chọn: Pass, Fail, Blocked hoặc Chưa test" sqref="M2:M405">
      <formula1>"Pass,Fail,Blocked,Chưa test"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1" sqref="A1"/>
    </sheetView>
  </sheetViews>
  <sheetFormatPr defaultColWidth="8.67592592592593" defaultRowHeight="14.4" outlineLevelCol="7"/>
  <cols>
    <col min="1" max="1" width="34" customWidth="1"/>
    <col min="2" max="7" width="12" customWidth="1"/>
    <col min="8" max="8" width="26" customWidth="1"/>
  </cols>
  <sheetData>
    <row r="1" ht="15.6" spans="1:8">
      <c r="A1" s="5" t="s">
        <v>1034</v>
      </c>
    </row>
    <row r="3" ht="31.5" customHeight="1" spans="1:8">
      <c r="A3" s="6" t="s">
        <v>1</v>
      </c>
      <c r="B3" s="6" t="s">
        <v>1035</v>
      </c>
      <c r="C3" s="6" t="s">
        <v>1036</v>
      </c>
      <c r="D3" s="6" t="s">
        <v>1037</v>
      </c>
      <c r="E3" s="6" t="s">
        <v>1038</v>
      </c>
      <c r="F3" s="6" t="s">
        <v>27</v>
      </c>
      <c r="G3" s="6" t="s">
        <v>1039</v>
      </c>
      <c r="H3" s="6" t="s">
        <v>1040</v>
      </c>
    </row>
    <row r="4" spans="1:8">
      <c r="A4" s="7" t="s">
        <v>17</v>
      </c>
      <c r="B4" s="8">
        <f>COUNTIF(Testcase!$B$2:$B$1000,A4)</f>
        <v>38</v>
      </c>
      <c r="C4" s="8">
        <f>COUNTIFS(Testcase!$B$2:$B$1000,$A4,Testcase!$M$2:$M$1000,"Pass")</f>
        <v>0</v>
      </c>
      <c r="D4" s="8">
        <f>COUNTIFS(Testcase!$B$2:$B$1000,$A4,Testcase!$M$2:$M$1000,"Fail")</f>
        <v>0</v>
      </c>
      <c r="E4" s="8">
        <f>COUNTIFS(Testcase!$B$2:$B$1000,$A4,Testcase!$M$2:$M$1000,"Blocked")</f>
        <v>0</v>
      </c>
      <c r="F4" s="8">
        <f>COUNTIFS(Testcase!$B$2:$B$1000,$A4,Testcase!$M$2:$M$1000,"Chưa test")</f>
        <v>38</v>
      </c>
      <c r="G4" s="9">
        <f t="shared" ref="G4:G10" si="0">IF(B4=0,0,C4/B4)</f>
        <v>0</v>
      </c>
      <c r="H4" s="8">
        <f>COUNTIFS(Testcase!$B$2:$B$1000,$A4,Testcase!$K$2:$K$1000,"Integration (WAF)")+COUNTIFS(Testcase!$B$2:$B$1000,$A4,Testcase!$K$2:$K$1000,"Unit")</f>
        <v>37</v>
      </c>
    </row>
    <row r="5" spans="1:8">
      <c r="A5" s="7" t="s">
        <v>226</v>
      </c>
      <c r="B5" s="8">
        <f>COUNTIF(Testcase!$B$2:$B$1000,A5)</f>
        <v>52</v>
      </c>
      <c r="C5" s="8">
        <f>COUNTIFS(Testcase!$B$2:$B$1000,$A5,Testcase!$M$2:$M$1000,"Pass")</f>
        <v>0</v>
      </c>
      <c r="D5" s="8">
        <f>COUNTIFS(Testcase!$B$2:$B$1000,$A5,Testcase!$M$2:$M$1000,"Fail")</f>
        <v>0</v>
      </c>
      <c r="E5" s="8">
        <f>COUNTIFS(Testcase!$B$2:$B$1000,$A5,Testcase!$M$2:$M$1000,"Blocked")</f>
        <v>0</v>
      </c>
      <c r="F5" s="8">
        <f>COUNTIFS(Testcase!$B$2:$B$1000,$A5,Testcase!$M$2:$M$1000,"Chưa test")</f>
        <v>52</v>
      </c>
      <c r="G5" s="9">
        <f t="shared" si="0"/>
        <v>0</v>
      </c>
      <c r="H5" s="8">
        <f>COUNTIFS(Testcase!$B$2:$B$1000,$A5,Testcase!$K$2:$K$1000,"Integration (WAF)")+COUNTIFS(Testcase!$B$2:$B$1000,$A5,Testcase!$K$2:$K$1000,"Unit")</f>
        <v>51</v>
      </c>
    </row>
    <row r="6" spans="1:8">
      <c r="A6" s="7" t="s">
        <v>490</v>
      </c>
      <c r="B6" s="8">
        <f>COUNTIF(Testcase!$B$2:$B$1000,A6)</f>
        <v>38</v>
      </c>
      <c r="C6" s="8">
        <f>COUNTIFS(Testcase!$B$2:$B$1000,$A6,Testcase!$M$2:$M$1000,"Pass")</f>
        <v>0</v>
      </c>
      <c r="D6" s="8">
        <f>COUNTIFS(Testcase!$B$2:$B$1000,$A6,Testcase!$M$2:$M$1000,"Fail")</f>
        <v>0</v>
      </c>
      <c r="E6" s="8">
        <f>COUNTIFS(Testcase!$B$2:$B$1000,$A6,Testcase!$M$2:$M$1000,"Blocked")</f>
        <v>0</v>
      </c>
      <c r="F6" s="8">
        <f>COUNTIFS(Testcase!$B$2:$B$1000,$A6,Testcase!$M$2:$M$1000,"Chưa test")</f>
        <v>38</v>
      </c>
      <c r="G6" s="9">
        <f t="shared" si="0"/>
        <v>0</v>
      </c>
      <c r="H6" s="8">
        <f>COUNTIFS(Testcase!$B$2:$B$1000,$A6,Testcase!$K$2:$K$1000,"Integration (WAF)")+COUNTIFS(Testcase!$B$2:$B$1000,$A6,Testcase!$K$2:$K$1000,"Unit")</f>
        <v>38</v>
      </c>
    </row>
    <row r="7" spans="1:8">
      <c r="A7" s="7" t="s">
        <v>677</v>
      </c>
      <c r="B7" s="8">
        <f>COUNTIF(Testcase!$B$2:$B$1000,A7)</f>
        <v>32</v>
      </c>
      <c r="C7" s="8">
        <f>COUNTIFS(Testcase!$B$2:$B$1000,$A7,Testcase!$M$2:$M$1000,"Pass")</f>
        <v>0</v>
      </c>
      <c r="D7" s="8">
        <f>COUNTIFS(Testcase!$B$2:$B$1000,$A7,Testcase!$M$2:$M$1000,"Fail")</f>
        <v>0</v>
      </c>
      <c r="E7" s="8">
        <f>COUNTIFS(Testcase!$B$2:$B$1000,$A7,Testcase!$M$2:$M$1000,"Blocked")</f>
        <v>0</v>
      </c>
      <c r="F7" s="8">
        <f>COUNTIFS(Testcase!$B$2:$B$1000,$A7,Testcase!$M$2:$M$1000,"Chưa test")</f>
        <v>32</v>
      </c>
      <c r="G7" s="9">
        <f t="shared" si="0"/>
        <v>0</v>
      </c>
      <c r="H7" s="8">
        <f>COUNTIFS(Testcase!$B$2:$B$1000,$A7,Testcase!$K$2:$K$1000,"Integration (WAF)")+COUNTIFS(Testcase!$B$2:$B$1000,$A7,Testcase!$K$2:$K$1000,"Unit")</f>
        <v>32</v>
      </c>
    </row>
    <row r="8" spans="1:8">
      <c r="A8" s="7" t="s">
        <v>821</v>
      </c>
      <c r="B8" s="8">
        <f>COUNTIF(Testcase!$B$2:$B$1000,A8)</f>
        <v>33</v>
      </c>
      <c r="C8" s="8">
        <f>COUNTIFS(Testcase!$B$2:$B$1000,$A8,Testcase!$M$2:$M$1000,"Pass")</f>
        <v>0</v>
      </c>
      <c r="D8" s="8">
        <f>COUNTIFS(Testcase!$B$2:$B$1000,$A8,Testcase!$M$2:$M$1000,"Fail")</f>
        <v>0</v>
      </c>
      <c r="E8" s="8">
        <f>COUNTIFS(Testcase!$B$2:$B$1000,$A8,Testcase!$M$2:$M$1000,"Blocked")</f>
        <v>0</v>
      </c>
      <c r="F8" s="8">
        <f>COUNTIFS(Testcase!$B$2:$B$1000,$A8,Testcase!$M$2:$M$1000,"Chưa test")</f>
        <v>33</v>
      </c>
      <c r="G8" s="9">
        <f t="shared" si="0"/>
        <v>0</v>
      </c>
      <c r="H8" s="8">
        <f>COUNTIFS(Testcase!$B$2:$B$1000,$A8,Testcase!$K$2:$K$1000,"Integration (WAF)")+COUNTIFS(Testcase!$B$2:$B$1000,$A8,Testcase!$K$2:$K$1000,"Unit")</f>
        <v>33</v>
      </c>
    </row>
    <row r="9" spans="1:8">
      <c r="A9" s="7" t="s">
        <v>977</v>
      </c>
      <c r="B9" s="8">
        <f>COUNTIF(Testcase!$B$2:$B$1000,A9)</f>
        <v>11</v>
      </c>
      <c r="C9" s="8">
        <f>COUNTIFS(Testcase!$B$2:$B$1000,$A9,Testcase!$M$2:$M$1000,"Pass")</f>
        <v>0</v>
      </c>
      <c r="D9" s="8">
        <f>COUNTIFS(Testcase!$B$2:$B$1000,$A9,Testcase!$M$2:$M$1000,"Fail")</f>
        <v>0</v>
      </c>
      <c r="E9" s="8">
        <f>COUNTIFS(Testcase!$B$2:$B$1000,$A9,Testcase!$M$2:$M$1000,"Blocked")</f>
        <v>0</v>
      </c>
      <c r="F9" s="8">
        <f>COUNTIFS(Testcase!$B$2:$B$1000,$A9,Testcase!$M$2:$M$1000,"Chưa test")</f>
        <v>11</v>
      </c>
      <c r="G9" s="9">
        <f t="shared" si="0"/>
        <v>0</v>
      </c>
      <c r="H9" s="8">
        <f>COUNTIFS(Testcase!$B$2:$B$1000,$A9,Testcase!$K$2:$K$1000,"Integration (WAF)")+COUNTIFS(Testcase!$B$2:$B$1000,$A9,Testcase!$K$2:$K$1000,"Unit")</f>
        <v>4</v>
      </c>
    </row>
    <row r="10" spans="1:8">
      <c r="A10" s="10" t="s">
        <v>1041</v>
      </c>
      <c r="B10" s="11">
        <f>SUM(B4:B9)</f>
        <v>204</v>
      </c>
      <c r="C10" s="11">
        <f>SUM(C4:C9)</f>
        <v>0</v>
      </c>
      <c r="D10" s="11">
        <f>SUM(D4:D9)</f>
        <v>0</v>
      </c>
      <c r="E10" s="11">
        <f>SUM(E4:E9)</f>
        <v>0</v>
      </c>
      <c r="F10" s="11">
        <f>SUM(F4:F9)</f>
        <v>204</v>
      </c>
      <c r="G10" s="12">
        <f t="shared" si="0"/>
        <v>0</v>
      </c>
      <c r="H10" s="11">
        <f>SUM(H4:H9)</f>
        <v>195</v>
      </c>
    </row>
    <row r="12" spans="1:8">
      <c r="A12" s="13" t="s">
        <v>1042</v>
      </c>
    </row>
    <row r="13" spans="1:8">
      <c r="A13" s="14" t="s">
        <v>25</v>
      </c>
      <c r="B13" s="14">
        <f>COUNTIF(Testcase!$J$2:$J$1000,A13)</f>
        <v>95</v>
      </c>
    </row>
    <row r="14" spans="1:8">
      <c r="A14" s="14" t="s">
        <v>41</v>
      </c>
      <c r="B14" s="14">
        <f>COUNTIF(Testcase!$J$2:$J$1000,A14)</f>
        <v>103</v>
      </c>
    </row>
    <row r="15" spans="1:8">
      <c r="A15" s="14" t="s">
        <v>164</v>
      </c>
      <c r="B15" s="14">
        <f>COUNTIF(Testcase!$J$2:$J$1000,A15)</f>
        <v>6</v>
      </c>
    </row>
    <row r="17" spans="1:2">
      <c r="A17" s="13" t="s">
        <v>1043</v>
      </c>
    </row>
    <row r="18" spans="1:2">
      <c r="A18" s="14" t="s">
        <v>19</v>
      </c>
      <c r="B18" s="14">
        <f>COUNTIF(Testcase!$D$2:$D$1000,A18)</f>
        <v>76</v>
      </c>
    </row>
    <row r="19" spans="1:2">
      <c r="A19" s="14" t="s">
        <v>35</v>
      </c>
      <c r="B19" s="14">
        <f>COUNTIF(Testcase!$D$2:$D$1000,A19)</f>
        <v>44</v>
      </c>
    </row>
    <row r="20" spans="1:2">
      <c r="A20" s="14" t="s">
        <v>72</v>
      </c>
      <c r="B20" s="14">
        <f>COUNTIF(Testcase!$D$2:$D$1000,A20)</f>
        <v>19</v>
      </c>
    </row>
    <row r="21" spans="1:2">
      <c r="A21" s="14" t="s">
        <v>66</v>
      </c>
      <c r="B21" s="14">
        <f>COUNTIF(Testcase!$D$2:$D$1000,A21)</f>
        <v>24</v>
      </c>
    </row>
    <row r="22" spans="1:2">
      <c r="A22" s="14" t="s">
        <v>187</v>
      </c>
      <c r="B22" s="14">
        <f>COUNTIF(Testcase!$D$2:$D$1000,A22)</f>
        <v>41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A1" sqref="A1"/>
    </sheetView>
  </sheetViews>
  <sheetFormatPr defaultColWidth="8.67592592592593" defaultRowHeight="14.4" outlineLevelCol="1"/>
  <cols>
    <col min="1" max="1" width="34" customWidth="1"/>
    <col min="2" max="2" width="120" customWidth="1"/>
  </cols>
  <sheetData>
    <row r="1" spans="1:2">
      <c r="A1" s="1" t="s">
        <v>1044</v>
      </c>
      <c r="B1" s="2"/>
    </row>
    <row r="2" spans="1:2">
      <c r="A2" s="3" t="s">
        <v>1045</v>
      </c>
      <c r="B2" s="4" t="s">
        <v>1046</v>
      </c>
    </row>
    <row r="3" spans="1:2">
      <c r="A3" s="3" t="s">
        <v>1047</v>
      </c>
      <c r="B3" s="4" t="s">
        <v>1048</v>
      </c>
    </row>
    <row r="4" ht="26.4" spans="1:2">
      <c r="A4" s="3" t="s">
        <v>10</v>
      </c>
      <c r="B4" s="4" t="s">
        <v>1049</v>
      </c>
    </row>
    <row r="5" spans="1:2">
      <c r="A5" s="3" t="s">
        <v>1050</v>
      </c>
      <c r="B5" s="4" t="s">
        <v>1051</v>
      </c>
    </row>
    <row r="6" spans="1:2">
      <c r="A6" s="3"/>
      <c r="B6" s="4"/>
    </row>
    <row r="7" ht="26.4" spans="1:2">
      <c r="A7" s="1" t="s">
        <v>1052</v>
      </c>
      <c r="B7" s="2"/>
    </row>
    <row r="8" ht="26.4" spans="1:2">
      <c r="A8" s="3" t="s">
        <v>1053</v>
      </c>
      <c r="B8" s="4" t="s">
        <v>1054</v>
      </c>
    </row>
    <row r="9" spans="1:2">
      <c r="A9" s="3" t="s">
        <v>1055</v>
      </c>
      <c r="B9" s="4" t="s">
        <v>1056</v>
      </c>
    </row>
    <row r="10" ht="26.4" spans="1:2">
      <c r="A10" s="3" t="s">
        <v>1057</v>
      </c>
      <c r="B10" s="4" t="s">
        <v>1058</v>
      </c>
    </row>
    <row r="11" spans="1:2">
      <c r="A11" s="3" t="s">
        <v>1059</v>
      </c>
      <c r="B11" s="4" t="s">
        <v>1060</v>
      </c>
    </row>
    <row r="12" spans="1:2">
      <c r="A12" s="3" t="s">
        <v>1061</v>
      </c>
      <c r="B12" s="4" t="s">
        <v>1062</v>
      </c>
    </row>
    <row r="13" ht="26.4" spans="1:2">
      <c r="A13" s="3" t="s">
        <v>1063</v>
      </c>
      <c r="B13" s="4" t="s">
        <v>1064</v>
      </c>
    </row>
    <row r="14" spans="1:2">
      <c r="A14" s="3"/>
      <c r="B14" s="4"/>
    </row>
    <row r="15" spans="1:2">
      <c r="A15" s="1" t="s">
        <v>1065</v>
      </c>
      <c r="B15" s="2"/>
    </row>
    <row r="16" spans="1:2">
      <c r="A16" s="3" t="s">
        <v>1066</v>
      </c>
      <c r="B16" s="4" t="s">
        <v>1067</v>
      </c>
    </row>
    <row r="17" spans="1:2">
      <c r="A17" s="3" t="s">
        <v>1068</v>
      </c>
      <c r="B17" s="4" t="s">
        <v>1069</v>
      </c>
    </row>
    <row r="18" spans="1:2">
      <c r="A18" s="3" t="s">
        <v>167</v>
      </c>
      <c r="B18" s="4" t="s">
        <v>1070</v>
      </c>
    </row>
    <row r="19" spans="1:2">
      <c r="A19" s="3" t="s">
        <v>203</v>
      </c>
      <c r="B19" s="4" t="s">
        <v>1071</v>
      </c>
    </row>
    <row r="20" spans="1:2">
      <c r="A20" s="3" t="s">
        <v>491</v>
      </c>
      <c r="B20" s="4" t="s">
        <v>1072</v>
      </c>
    </row>
    <row r="21" spans="1:2">
      <c r="A21" s="3" t="s">
        <v>678</v>
      </c>
      <c r="B21" s="4" t="s">
        <v>1073</v>
      </c>
    </row>
    <row r="22" ht="26.4" spans="1:2">
      <c r="A22" s="3" t="s">
        <v>1074</v>
      </c>
      <c r="B22" s="4" t="s">
        <v>1075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Testcase</vt:lpstr>
      <vt:lpstr>Tổng hợp</vt:lpstr>
      <vt:lpstr>Quy ước &amp; Dữ liệu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cp:revision>0</cp:revision>
  <dcterms:created xsi:type="dcterms:W3CDTF">2026-10-07T02:31:00Z</dcterms:created>
  <dcterms:modified xsi:type="dcterms:W3CDTF">2026-10-07T04:29:08Z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50AFF2D70E78438D81D845CDB62FCC83_12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